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-Notebook\Desktop\PJT\"/>
    </mc:Choice>
  </mc:AlternateContent>
  <xr:revisionPtr revIDLastSave="0" documentId="13_ncr:1_{2D96954D-6A94-48AF-A624-BD8CBA5B92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lass IOPoint" sheetId="3" r:id="rId1"/>
    <sheet name="Id (Identification) class" sheetId="4" r:id="rId2"/>
    <sheet name="Industrial Tag Parser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" i="5" l="1"/>
  <c r="A50" i="5"/>
  <c r="A58" i="5"/>
  <c r="A62" i="5"/>
  <c r="A63" i="5"/>
  <c r="A67" i="5"/>
  <c r="A71" i="5"/>
  <c r="A72" i="5"/>
  <c r="A330" i="5"/>
  <c r="A331" i="5"/>
  <c r="A332" i="5"/>
  <c r="A333" i="5"/>
  <c r="A334" i="5"/>
  <c r="A335" i="5"/>
</calcChain>
</file>

<file path=xl/sharedStrings.xml><?xml version="1.0" encoding="utf-8"?>
<sst xmlns="http://schemas.openxmlformats.org/spreadsheetml/2006/main" count="796" uniqueCount="689">
  <si>
    <t>/// &lt;summary&gt;</t>
  </si>
  <si>
    <t>/// &lt;/summary&gt;</t>
  </si>
  <si>
    <t>{</t>
  </si>
  <si>
    <t>}</t>
  </si>
  <si>
    <t xml:space="preserve">    {</t>
  </si>
  <si>
    <t xml:space="preserve">    }</t>
  </si>
  <si>
    <t>│</t>
  </si>
  <si>
    <t>Поле</t>
  </si>
  <si>
    <t>Tag</t>
  </si>
  <si>
    <t>Controller</t>
  </si>
  <si>
    <t>Назначение</t>
  </si>
  <si>
    <t>Пример</t>
  </si>
  <si>
    <t>Обязательность</t>
  </si>
  <si>
    <t>Code</t>
  </si>
  <si>
    <t>Порядковый номер строки в списке</t>
  </si>
  <si>
    <t>Да</t>
  </si>
  <si>
    <t>Area</t>
  </si>
  <si>
    <t>Title</t>
  </si>
  <si>
    <t>Номер установки/зоны (географическое)</t>
  </si>
  <si>
    <t>Номер установки/зоны (функциональное)</t>
  </si>
  <si>
    <t>Loop</t>
  </si>
  <si>
    <t>2701-XZY-10101A</t>
  </si>
  <si>
    <t>2701-XV-10101A</t>
  </si>
  <si>
    <t>Технологический контур (функциональное разделение)</t>
  </si>
  <si>
    <t>2701-X-10101A</t>
  </si>
  <si>
    <t>Технологический контур (технологическое разделение)</t>
  </si>
  <si>
    <t>Нет</t>
  </si>
  <si>
    <t>2701-X-10105A</t>
  </si>
  <si>
    <t>iLoop</t>
  </si>
  <si>
    <t>Loop_pc</t>
  </si>
  <si>
    <t>Вложенный (субконтур) Loop</t>
  </si>
  <si>
    <t>Уникальный тег устройства (главный ID)</t>
  </si>
  <si>
    <t>Tag_pc</t>
  </si>
  <si>
    <t>Обычно</t>
  </si>
  <si>
    <t>Технологический тэг устройства</t>
  </si>
  <si>
    <t>Service</t>
  </si>
  <si>
    <t>Styrene Inlet Switch Valve</t>
  </si>
  <si>
    <t>Технологическое описание (RU)</t>
  </si>
  <si>
    <t>Тип прибора (RU)</t>
  </si>
  <si>
    <t>Распределительный клапан для впуска стирола</t>
  </si>
  <si>
    <t>Электромагнитный клапан</t>
  </si>
  <si>
    <t>Service_Eng</t>
  </si>
  <si>
    <t>InstrumentType</t>
  </si>
  <si>
    <t>InstrumentTypeEng</t>
  </si>
  <si>
    <t>Тип прибора (ENG)</t>
  </si>
  <si>
    <t>Технологическое описание (ENG)</t>
  </si>
  <si>
    <t>Solenoid valve</t>
  </si>
  <si>
    <t>Sys</t>
  </si>
  <si>
    <t>DCS</t>
  </si>
  <si>
    <t>Тип системы управления, к которой относится сигнал: public enum (DCS, SIS, GDS, "")</t>
  </si>
  <si>
    <t xml:space="preserve">	Тип сигнала</t>
  </si>
  <si>
    <t xml:space="preserve">	DO, AI</t>
  </si>
  <si>
    <t>IO_Type</t>
  </si>
  <si>
    <t>Имя контроллера FCS, SCS, GDS</t>
  </si>
  <si>
    <t>2000-S-SC-B01, 2000-F-SC-B02</t>
  </si>
  <si>
    <t>Location</t>
  </si>
  <si>
    <t>Место установки</t>
  </si>
  <si>
    <r>
      <t>Field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MCC</t>
    </r>
  </si>
  <si>
    <t>P&amp;ID</t>
  </si>
  <si>
    <t>Номер P&amp;ID (привязка к схеме)</t>
  </si>
  <si>
    <t>2490156-1401-PR007-0101A</t>
  </si>
  <si>
    <t>Отлично! Сохраняю все требования в структурированном виде для дальнейшего использования.</t>
  </si>
  <si>
    <t>---</t>
  </si>
  <si>
    <t>## 📋 СПЕЦИФИКАЦИЯ ПАРСЕРА ТЕГОВ (Industrial Tag Parser)</t>
  </si>
  <si>
    <t>### Версия: 1.0</t>
  </si>
  <si>
    <t>### Дата: 2026-07-28</t>
  </si>
  <si>
    <t>## 1. СТРУКТУРА ТЕГА</t>
  </si>
  <si>
    <t>```</t>
  </si>
  <si>
    <t>[Area][Separator][DeviceClass][Separator][Loop][TagNumber][Suffix]</t>
  </si>
  <si>
    <t>### Компоненты:</t>
  </si>
  <si>
    <t>| Компонент | Описание | Тип | Длина | Обязательность |</t>
  </si>
  <si>
    <t>| :--- | :--- | :--- | :--- | :--- |</t>
  </si>
  <si>
    <t>| **DeviceClass** | Класс прибора | Буквы (A-Z) | 1-5 | Да |</t>
  </si>
  <si>
    <t>| **Suffix** | Суффикс (модификатор) | Буквы/Цифры | 0-3 | Нет |</t>
  </si>
  <si>
    <t>## 2. ПРАВИЛА ПАРСИНГА</t>
  </si>
  <si>
    <t>### 2.1. Разделители</t>
  </si>
  <si>
    <t>Допустимые разделители (в порядке приоритета):</t>
  </si>
  <si>
    <t>_ (подчеркивание)</t>
  </si>
  <si>
    <t>/ (слеш)</t>
  </si>
  <si>
    <t>. (точка)</t>
  </si>
  <si>
    <t>: (двоеточие)</t>
  </si>
  <si>
    <t>; (точка с запятой)</t>
  </si>
  <si>
    <t>| (вертикальная черта)</t>
  </si>
  <si>
    <t>### 2.2. Правила определения частей</t>
  </si>
  <si>
    <t>**Area:**</t>
  </si>
  <si>
    <t>- Определяется как последовательность цифр **перед первым разделителем**</t>
  </si>
  <si>
    <t>- Если отсутствует, то первый разделитель стоит сразу после DeviceClass</t>
  </si>
  <si>
    <t>- **Разделитель не может быть в начале строки**</t>
  </si>
  <si>
    <t>**DeviceClass:**</t>
  </si>
  <si>
    <t>- Определяется как последовательность букв **между первым и вторым разделителями**</t>
  </si>
  <si>
    <t>- Если Area отсутствует — DeviceClass идет **до первого разделителя**</t>
  </si>
  <si>
    <t>- Допустимые значения: 1-5 букв (A-Z, регистронезависимо)</t>
  </si>
  <si>
    <t>**Loop:**</t>
  </si>
  <si>
    <t>- Определяется как последовательность цифр **после второго разделителя**</t>
  </si>
  <si>
    <t>**TagNumber:**</t>
  </si>
  <si>
    <t>- Определяется как **следующие цифры после Loop**</t>
  </si>
  <si>
    <t>**Suffix:**</t>
  </si>
  <si>
    <t>- Определяется как **все остальные символы после TagNumber**</t>
  </si>
  <si>
    <t>### 2.3. Особые случаи</t>
  </si>
  <si>
    <t>| Случай | Пример | Результат |</t>
  </si>
  <si>
    <t>| :--- | :--- | :--- |</t>
  </si>
  <si>
    <t>| Без Area | `P-9999` | Area="", Device="P", Loop="9999" |</t>
  </si>
  <si>
    <t>| С Area | `1234-PDT-01001A` | Area="1234", Device="PDT", Loop="010", Tag="01", Suffix="A" |</t>
  </si>
  <si>
    <t>| Без TagNumber | `FT-123` | Area="", Device="FT", Loop="123" |</t>
  </si>
  <si>
    <t>| Без Suffix | `1234-PDT-01001` | Area="1234", Device="PDT", Loop="010", Tag="01" |</t>
  </si>
  <si>
    <t>| Без разделителя | `1234PDT01001A` | Area="1234", Device="PDT", Loop="010", Tag="01", Suffix="A" |</t>
  </si>
  <si>
    <t>| Длинный DeviceClass | `TEMP-12345` | Area="", Device="TEMP", Loop="12345" |</t>
  </si>
  <si>
    <t>| Максимальная длина | `1234-TEMP-12345AB` | Area="1234", Device="TEMP", Loop="12345", Tag="", Suffix="AB" |</t>
  </si>
  <si>
    <t>## 3. ТРЕБОВАНИЯ К РЕАЛИЗАЦИИ</t>
  </si>
  <si>
    <t>### 3.1. Функциональные требования</t>
  </si>
  <si>
    <t>- [x] Поддержка разделителей: `-`, `_`, `/`, `.`, `:`, `;`, `|`</t>
  </si>
  <si>
    <t>- [x] Автоматическое определение разделителя</t>
  </si>
  <si>
    <t>- [x] Поддержка отсутствия разделителя</t>
  </si>
  <si>
    <t>- [x] Поддержка отсутствия Area</t>
  </si>
  <si>
    <t>- [x] Поддержка отсутствия TagNumber</t>
  </si>
  <si>
    <t>- [x] Поддержка отсутствия Suffix</t>
  </si>
  <si>
    <t>- [x] Приведение DeviceClass и Suffix к верхнему регистру</t>
  </si>
  <si>
    <t>- [x] Валидация длины всех компонентов</t>
  </si>
  <si>
    <t>- [x] Информативные сообщения об ошибках</t>
  </si>
  <si>
    <t>### 3.2. Технические требования</t>
  </si>
  <si>
    <t>- [x] Реализация на C#</t>
  </si>
  <si>
    <t>- [x] Использование Regex для парсинга без разделителя</t>
  </si>
  <si>
    <t>- [x] Ручной парсинг для строк с разделителем</t>
  </si>
  <si>
    <t>- [x] Класс-модель InstrumentTag</t>
  </si>
  <si>
    <t>- [x] Статический метод Parse</t>
  </si>
  <si>
    <t>- [x] Юнит-тесты для всех сценариев</t>
  </si>
  <si>
    <t>## 4. ПРИМЕРЫ ТЕГОВ</t>
  </si>
  <si>
    <t>### 4.1. Валидные теги</t>
  </si>
  <si>
    <t>1234-PDT-01001A</t>
  </si>
  <si>
    <t>42-FT-123</t>
  </si>
  <si>
    <t>5-TT-001</t>
  </si>
  <si>
    <t>P-9999</t>
  </si>
  <si>
    <t>FT-123</t>
  </si>
  <si>
    <t>TEMP-12345</t>
  </si>
  <si>
    <t>LEVEL-123A</t>
  </si>
  <si>
    <t>1234-PDT-01001AB</t>
  </si>
  <si>
    <t>PDT_01001A</t>
  </si>
  <si>
    <t>1234.PDT.01001</t>
  </si>
  <si>
    <t>1234PDT01001A</t>
  </si>
  <si>
    <t>P9999</t>
  </si>
  <si>
    <t>1-TEMP-12345</t>
  </si>
  <si>
    <t>-LEVEL-123A           (невалидный - разделитель в начале)</t>
  </si>
  <si>
    <t>### 4.2. Ожидаемые результаты</t>
  </si>
  <si>
    <t>| Тег | Area | Device | Loop | Tag | Suffix |</t>
  </si>
  <si>
    <t>| :--- | :--- | :--- | :--- | :--- | :--- |</t>
  </si>
  <si>
    <t>| `1234-PDT-01001A` | 1234 | PDT | 010 | 01 | A |</t>
  </si>
  <si>
    <t>| `42-FT-123` | 42 | FT | 123 | | |</t>
  </si>
  <si>
    <t>| `P-9999` | | P | 9999 | | |</t>
  </si>
  <si>
    <t>| `TEMP-12345` | | TEMP | 12345 | | |</t>
  </si>
  <si>
    <t>| `LEVEL-123A` | | LEVEL | 123 | | A |</t>
  </si>
  <si>
    <t>| `1234PDT01001A` | 1234 | PDT | 010 | 01 | A |</t>
  </si>
  <si>
    <t>## 5. КОД (FINAL VERSION)</t>
  </si>
  <si>
    <t>```csharp</t>
  </si>
  <si>
    <t>using System;</t>
  </si>
  <si>
    <t>using System.Linq;</t>
  </si>
  <si>
    <t>using System.Text.RegularExpressions;</t>
  </si>
  <si>
    <t>/// Парсер промышленных тегов Instrumentation</t>
  </si>
  <si>
    <t>/// Поддерживает форматы: 1234-PDT-01001A, P-9999, 1234PDT01001A и др.</t>
  </si>
  <si>
    <t>public class InstrumentTag</t>
  </si>
  <si>
    <t xml:space="preserve">    public string Area { get; set; } = "";</t>
  </si>
  <si>
    <t xml:space="preserve">    public string DeviceClass { get; set; } = "";</t>
  </si>
  <si>
    <t xml:space="preserve">    public string Loop { get; set; } = "";</t>
  </si>
  <si>
    <t xml:space="preserve">    public string TagNumber { get; set; } = "";</t>
  </si>
  <si>
    <t xml:space="preserve">    public string Suffix { get; set; } = "";</t>
  </si>
  <si>
    <t xml:space="preserve">    public string FullTag { get; set; } = "";</t>
  </si>
  <si>
    <t xml:space="preserve">    public char? Separator { get; set; }</t>
  </si>
  <si>
    <t xml:space="preserve">    private static readonly char[] Separators = { '-', '_', '/', '.', ':', ';', '|' };</t>
  </si>
  <si>
    <t xml:space="preserve">    public static InstrumentTag Parse(string tag)</t>
  </si>
  <si>
    <t xml:space="preserve">        if (string.IsNullOrWhiteSpace(tag))</t>
  </si>
  <si>
    <t xml:space="preserve">            throw new ArgumentException("Тег не может быть пустым");</t>
  </si>
  <si>
    <t xml:space="preserve">        string clean = tag.Trim();</t>
  </si>
  <si>
    <t xml:space="preserve">        var result = new InstrumentTag { FullTag = tag };</t>
  </si>
  <si>
    <t xml:space="preserve">        // Ищем первый разделитель (не в начале)</t>
  </si>
  <si>
    <t xml:space="preserve">        char? separator = null;</t>
  </si>
  <si>
    <t xml:space="preserve">        foreach (var sep in Separators)</t>
  </si>
  <si>
    <t xml:space="preserve">        {</t>
  </si>
  <si>
    <t xml:space="preserve">            int idx = clean.IndexOf(sep);</t>
  </si>
  <si>
    <t xml:space="preserve">            if (idx &gt; 0) // Разделитель не на первой позиции</t>
  </si>
  <si>
    <t xml:space="preserve">            {</t>
  </si>
  <si>
    <t xml:space="preserve">                separator = sep;</t>
  </si>
  <si>
    <t xml:space="preserve">                break;</t>
  </si>
  <si>
    <t xml:space="preserve">            }</t>
  </si>
  <si>
    <t xml:space="preserve">        }</t>
  </si>
  <si>
    <t xml:space="preserve">        if (!separator.HasValue)</t>
  </si>
  <si>
    <t xml:space="preserve">            return ParseWithoutSeparator(clean);</t>
  </si>
  <si>
    <t xml:space="preserve">        result.Separator = separator;</t>
  </si>
  <si>
    <t xml:space="preserve">        string[] parts = clean.Split(separator.Value);</t>
  </si>
  <si>
    <t xml:space="preserve">        int idx_ = 0;</t>
  </si>
  <si>
    <t xml:space="preserve">        // Area (0-4 цифры)</t>
  </si>
  <si>
    <t xml:space="preserve">        if (idx_ &lt; parts.Length &amp;&amp; parts[idx_].All(char.IsDigit) &amp;&amp; parts[idx_].Length &lt;= 4)</t>
  </si>
  <si>
    <t xml:space="preserve">            result.Area = parts[idx_];</t>
  </si>
  <si>
    <t xml:space="preserve">            idx_++;</t>
  </si>
  <si>
    <t xml:space="preserve">        // DeviceClass (1-5 букв)</t>
  </si>
  <si>
    <t xml:space="preserve">        if (idx_ &lt; parts.Length &amp;&amp; parts[idx_].All(char.IsLetter) &amp;&amp; parts[idx_].Length &lt;= 5)</t>
  </si>
  <si>
    <t xml:space="preserve">            result.DeviceClass = parts[idx_].ToUpper();</t>
  </si>
  <si>
    <t xml:space="preserve">        else</t>
  </si>
  <si>
    <t xml:space="preserve">            throw new ArgumentException($"DeviceClass не найден в теге: {tag}");</t>
  </si>
  <si>
    <t xml:space="preserve">        // Loop + Tag + Suffix</t>
  </si>
  <si>
    <t xml:space="preserve">        if (idx_ &lt; parts.Length)</t>
  </si>
  <si>
    <t xml:space="preserve">            string rest = parts[idx_];</t>
  </si>
  <si>
    <t xml:space="preserve">            int i = 0;</t>
  </si>
  <si>
    <t xml:space="preserve">            while (i &lt; rest.Length &amp;&amp; char.IsDigit(rest[i])) i++;</t>
  </si>
  <si>
    <t xml:space="preserve">            result.Loop = rest.Substring(0, i);</t>
  </si>
  <si>
    <t xml:space="preserve">            int j = i;</t>
  </si>
  <si>
    <t xml:space="preserve">            while (j &lt; rest.Length &amp;&amp; char.IsDigit(rest[j])) j++;</t>
  </si>
  <si>
    <t xml:space="preserve">            result.TagNumber = j &gt; i ? rest.Substring(i, j - i) : "";</t>
  </si>
  <si>
    <t xml:space="preserve">            result.Suffix = j &lt; rest.Length ? rest.Substring(j).ToUpper() : "";</t>
  </si>
  <si>
    <t xml:space="preserve">            throw new ArgumentException($"Loop не найден в теге: {tag}");</t>
  </si>
  <si>
    <t xml:space="preserve">        return result;</t>
  </si>
  <si>
    <t xml:space="preserve">    private static readonly Regex NoSeparatorRegex = new Regex(</t>
  </si>
  <si>
    <t xml:space="preserve">        @"^(?&lt;Area&gt;\d{0,4})(?&lt;Device&gt;[A-Z]{1,5})(?&lt;Loop&gt;\d{1,5})(?&lt;Tag&gt;\d{0,3})(?&lt;Suffix&gt;[A-Z0-9]{0,3})$",</t>
  </si>
  <si>
    <t xml:space="preserve">        RegexOptions.Compiled | RegexOptions.IgnoreCase</t>
  </si>
  <si>
    <t xml:space="preserve">    );</t>
  </si>
  <si>
    <t xml:space="preserve">    private static InstrumentTag ParseWithoutSeparator(string tag)</t>
  </si>
  <si>
    <t xml:space="preserve">        var match = NoSeparatorRegex.Match(tag);</t>
  </si>
  <si>
    <t xml:space="preserve">        if (!match.Success)</t>
  </si>
  <si>
    <t xml:space="preserve">            throw new ArgumentException($"Некорректный формат тега: {tag}");</t>
  </si>
  <si>
    <t xml:space="preserve">        return new InstrumentTag</t>
  </si>
  <si>
    <t xml:space="preserve">            FullTag = tag,</t>
  </si>
  <si>
    <t xml:space="preserve">            Separator = null,</t>
  </si>
  <si>
    <t xml:space="preserve">            Area = match.Groups["Area"].Value,</t>
  </si>
  <si>
    <t xml:space="preserve">            DeviceClass = match.Groups["Device"].Value.ToUpper(),</t>
  </si>
  <si>
    <t xml:space="preserve">            Loop = match.Groups["Loop"].Value,</t>
  </si>
  <si>
    <t xml:space="preserve">            TagNumber = match.Groups["Tag"].Value,</t>
  </si>
  <si>
    <t xml:space="preserve">            Suffix = match.Groups["Suffix"].Value.ToUpper()</t>
  </si>
  <si>
    <t xml:space="preserve">        };</t>
  </si>
  <si>
    <t xml:space="preserve">    public override string ToString()</t>
  </si>
  <si>
    <t xml:space="preserve">        return $"Area: {Area}, Device: {DeviceClass}, Loop: {Loop}, Tag: {TagNumber}, Suffix: {Suffix}";</t>
  </si>
  <si>
    <t>## 6. ТЕСТЫ (NUnit)</t>
  </si>
  <si>
    <t>[TestFixture]</t>
  </si>
  <si>
    <t>public class InstrumentTagTests</t>
  </si>
  <si>
    <t xml:space="preserve">    [TestCase("1234-PDT-01001A", "1234", "PDT", "010", "01", "A")]</t>
  </si>
  <si>
    <t xml:space="preserve">    [TestCase("P-9999", "", "P", "9999", "", "")]</t>
  </si>
  <si>
    <t xml:space="preserve">    [TestCase("FT-123", "", "FT", "123", "", "")]</t>
  </si>
  <si>
    <t xml:space="preserve">    [TestCase("42-FT-123", "42", "FT", "123", "", "")]</t>
  </si>
  <si>
    <t xml:space="preserve">    [TestCase("TEMP-12345", "", "TEMP", "12345", "", "")]</t>
  </si>
  <si>
    <t xml:space="preserve">    [TestCase("LEVEL-123A", "", "LEVEL", "123", "", "A")]</t>
  </si>
  <si>
    <t xml:space="preserve">    [TestCase("1234-PDT-01001AB", "1234", "PDT", "010", "01", "AB")]</t>
  </si>
  <si>
    <t xml:space="preserve">    [TestCase("PDT_01001A", "", "PDT", "010", "01", "A")]</t>
  </si>
  <si>
    <t xml:space="preserve">    [TestCase("1234.PDT.01001", "1234", "PDT", "010", "01", "")]</t>
  </si>
  <si>
    <t xml:space="preserve">    [TestCase("1234PDT01001A", "1234", "PDT", "010", "01", "A")]</t>
  </si>
  <si>
    <t xml:space="preserve">    [TestCase("P9999", "", "P", "9999", "", "")]</t>
  </si>
  <si>
    <t xml:space="preserve">    [TestCase("1-TEMP-12345", "1", "TEMP", "12345", "", "")]</t>
  </si>
  <si>
    <t xml:space="preserve">    public void Parse_ValidTags_ReturnsCorrectParts(</t>
  </si>
  <si>
    <t xml:space="preserve">        string tag, string area, string device, string loop, string tagNum, string suffix)</t>
  </si>
  <si>
    <t xml:space="preserve">        var result = InstrumentTag.Parse(tag);</t>
  </si>
  <si>
    <t xml:space="preserve">        Assert.AreEqual(area, result.Area);</t>
  </si>
  <si>
    <t xml:space="preserve">        Assert.AreEqual(device, result.DeviceClass);</t>
  </si>
  <si>
    <t xml:space="preserve">        Assert.AreEqual(loop, result.Loop);</t>
  </si>
  <si>
    <t xml:space="preserve">        Assert.AreEqual(tagNum, result.TagNumber);</t>
  </si>
  <si>
    <t xml:space="preserve">        Assert.AreEqual(suffix, result.Suffix);</t>
  </si>
  <si>
    <t xml:space="preserve">    [Test]</t>
  </si>
  <si>
    <t xml:space="preserve">    public void Parse_InvalidTag_ThrowsException()</t>
  </si>
  <si>
    <t xml:space="preserve">        Assert.Throws&lt;ArgumentException&gt;(() =&gt; InstrumentTag.Parse("-P-9999"));</t>
  </si>
  <si>
    <t xml:space="preserve">        Assert.Throws&lt;ArgumentException&gt;(() =&gt; InstrumentTag.Parse(""));</t>
  </si>
  <si>
    <t xml:space="preserve">        Assert.Throws&lt;ArgumentException&gt;(() =&gt; InstrumentTag.Parse("123-"));</t>
  </si>
  <si>
    <t>## 7. ИСТОРИЯ ИЗМЕНЕНИЙ</t>
  </si>
  <si>
    <t>| Версия | Дата | Изменения |</t>
  </si>
  <si>
    <t>| 1.0 | 2026-07-28 | Создание спецификации. Базовая реализация парсера. |</t>
  </si>
  <si>
    <t>## 8. КОНТАКТЫ ДЛЯ РАЗРАБОТКИ</t>
  </si>
  <si>
    <t>При изменении требований или добавлении новой функциональности обновлять:</t>
  </si>
  <si>
    <t>1. Спецификацию (этот документ)</t>
  </si>
  <si>
    <t>2. Код парсера</t>
  </si>
  <si>
    <t>3. Юнит-тесты</t>
  </si>
  <si>
    <t>✅ **Спецификация сохранена.** При необходимости могу:</t>
  </si>
  <si>
    <t>| **Area** | Код площадки/завода | Цифры | 0-5 | Нет |</t>
  </si>
  <si>
    <t>| **Separator** | Разделитель | Символ | 1 | Нет (между частями) |</t>
  </si>
  <si>
    <t>| **Loop** | Номер контура | Цифры | 1-5 | Нет |</t>
  </si>
  <si>
    <t>| **TagNumber** | Номер прибора | Цифры | 0-3 | Да |</t>
  </si>
  <si>
    <t>| Свойство | Тип | Описание |</t>
  </si>
  <si>
    <t>## 📋 Полная иерархическая структура</t>
  </si>
  <si>
    <t>IOPoint - Точка ввода-вывода в системе автоматизации</t>
  </si>
  <si>
    <t>├── Id : Identification? - Идентификационные данные точки</t>
  </si>
  <si>
    <t>├── Signal : Signal? - Технологические параметры сигнала</t>
  </si>
  <si>
    <t>├── Ranges : Ranges? - Диапазоны измерений и уставки аварийной сигнализации</t>
  </si>
  <si>
    <t>├── Cable : Cable? - Кабельное хозяйство (физическое подключение сигнала)</t>
  </si>
  <si>
    <t>├── Hardware : Controller? - Оборудование контроллера (привязка к аппаратным средствам)</t>
  </si>
  <si>
    <t>└── Rev : Revision? - Управление версиями и метаданными</t>
  </si>
  <si>
    <t>| Свойство | Тип | Описание | Пример | Ограничения |</t>
  </si>
  <si>
    <t>|:---|:---|:---|:---|:---|</t>
  </si>
  <si>
    <t>| Тег | Area | DeviceClass | Loop | TagNumber | Suffix |</t>
  </si>
  <si>
    <t>|:---|:---|:---|:---|:---|:---|</t>
  </si>
  <si>
    <t>|:---|:---|:---|</t>
  </si>
  <si>
    <t>| `DeviceClass` | `string?` | Класс прибора (тип устройства по функциональному назначению) | `"XZY"` | 1-5 букв A-Z |</t>
  </si>
  <si>
    <t>| `Loop` | `string?` | Номер технологического контура (связывает приборы одного процесса) | `"10101"` | 1-5 цифр |</t>
  </si>
  <si>
    <t>| `TagNumber` | `string?` | Порядковый номер прибора в контуре (уникальный идентификатор) | `"01"` | 0-3 ЦИФРЫ! |</t>
  </si>
  <si>
    <t>| `Suffix` | `string?` | Суффикс (модификатор прибора: резервный, основной, часть системы) | `"A"` | 0-3 буквы/цифры |</t>
  </si>
  <si>
    <t>| `FullTag` | `string?` | Исходный тег в полном виде (для обратного прослеживания) | `"2701-XZY-10101A"` | - |</t>
  </si>
  <si>
    <t>| `Separator` | `char?` | Определенный разделитель (автоматически определяется при парсинге) | `'-'` | - |</t>
  </si>
  <si>
    <t>| `2701-XZY-10101A` | `"2701"` | `"XZY"` | `"10101"` | `"01"` | `"A"` |</t>
  </si>
  <si>
    <t>| `123456-PDT-01001A` | `"123456"` | `"PDT"` | `"010"` | `"01"` | `"A"` |</t>
  </si>
  <si>
    <t>| `42-FT-123` | `"42"` | `"FT"` | `"123"` | `""` | `""` |</t>
  </si>
  <si>
    <t>| `P-9999` | `""` | `"P"` | `"9999"` | `""` | `""` |</t>
  </si>
  <si>
    <t>| `123456PDT01001A` | `"123456"` | `"PDT"` | `"010"` | `"01"` | `"A"` |</t>
  </si>
  <si>
    <t>| `TEMP-12345` | `""` | `"TEMP"` | `"12345"` | `""` | `""` |</t>
  </si>
  <si>
    <t># Полная структура класса IOPoint и всех подклассов</t>
  </si>
  <si>
    <t>│   ├── Code : int? - Порядковый номер строки в списке (из колонки "Код")</t>
  </si>
  <si>
    <t>│   ├── Area : int? - Номер технологической установки/зоны (географическое расположение)</t>
  </si>
  <si>
    <t>│   ├── Title : string? - Номер установки/зоны (функциональное наименование)</t>
  </si>
  <si>
    <t>│   ├── Loop : string? - Технологический контур (связывает точки одного процесса)</t>
  </si>
  <si>
    <t>│   ├── iLoop : string? - Вложенный субконтур (детализация внутри основного контура)</t>
  </si>
  <si>
    <t>│   ├── Loop_pc : string? - Технологический контур (технологическое разделение)</t>
  </si>
  <si>
    <t>│   ├── Tag : string? - Уникальный тег устройства (главный идентификатор)</t>
  </si>
  <si>
    <t>│   ├── ParsedTag : InstrumentTag? - Распарсенный тег (структурированные компоненты)</t>
  </si>
  <si>
    <t>│   │   ├── Area : string? - Код площадки/завода (0-6 ЦИФР!)</t>
  </si>
  <si>
    <t>│   │   ├── DeviceClass : string? - Класс прибора (1-5 букв A-Z)</t>
  </si>
  <si>
    <t>│   │   ├── Loop : string? - Номер технологического контура (1-5 цифр)</t>
  </si>
  <si>
    <t>│   │   ├── TagNumber : string? - Порядковый номер прибора (0-3 ЦИФРЫ!)</t>
  </si>
  <si>
    <t>│   │   ├── Suffix : string? - Суффикс (модификатор прибора, 0-3 символа)</t>
  </si>
  <si>
    <t>│   │   ├── FullTag : string? - Исходный тег в полном виде</t>
  </si>
  <si>
    <t>│   │   └── Separator : char? - Определенный разделитель (если отсутствовал - null)</t>
  </si>
  <si>
    <t>│   ├── Tag_Prc : string? - Технологический тег устройства (для технологических схем)</t>
  </si>
  <si>
    <t>│   ├── Service : string? - Технологическое описание сигнала (на русском языке)</t>
  </si>
  <si>
    <t>│   ├── InstrumentType : string? - Тип прибора/устройства (на русском языке)</t>
  </si>
  <si>
    <t>│   ├── Service_Eng : string? - Технологическое описание сигнала (на английском языке)</t>
  </si>
  <si>
    <t>│   ├── InstrumentTypeEng : string? - Тип прибора/устройства (на английском языке)</t>
  </si>
  <si>
    <t>│   ├── Sys : SystemType? - Тип системы управления (DCS/SCS/GDS)</t>
  </si>
  <si>
    <t>│   │   └── enum SystemType</t>
  </si>
  <si>
    <t>│   │       ├── DCS - Распределенная система управления (основной техпроцесс)</t>
  </si>
  <si>
    <t>│   │       ├── SCS - Система безопасности / SIS (Safety Instrumented System)</t>
  </si>
  <si>
    <t>│   │       └── GDS - Система обнаружения газа (Gas Detection System)</t>
  </si>
  <si>
    <t>│   ├── IO_Type : string? - Тип сигнала ввода-вывода (DO - дискретный выход, AI - аналоговый вход)</t>
  </si>
  <si>
    <t>│   ├── Controller : string? - Имя контроллера (FCS, SCS, GDS) в системе управления</t>
  </si>
  <si>
    <t>│   ├── Location : string? - Место установки оборудования (Field - полевое, SIS - система безопасности, MCC - шкаф мотор-контроллеров)</t>
  </si>
  <si>
    <t>│   └── Pid : string? - Номер P&amp;ID (Piping and Instrumentation Diagram) для привязки к схеме</t>
  </si>
  <si>
    <t>│   ├── Service : string? - Технологическое описание сигнала (полное наименование)</t>
  </si>
  <si>
    <t>│   ├── InstType : string? - Тип прибора/устройства (полное наименование)</t>
  </si>
  <si>
    <t>│   ├── Sys : string? - Идентификатор системы управления (FCS, SCS, GDS)</t>
  </si>
  <si>
    <t>│   ├── SysType : SystemType? - Тип системы управления (DCS/SCS/GDS)</t>
  </si>
  <si>
    <t>│   ├── Pid : string? - Номер листа P&amp;ID для привязки к технологической схеме</t>
  </si>
  <si>
    <t>│   ├── Loc : string? - Место установки/подключения сигнала (Field, SIS, MCC, AUX, GDS)</t>
  </si>
  <si>
    <t>│   ├── SigType : string? - Тип сигнала (I/O Type): DOR-P, DIR(I)-NAMUR, AIR-LP и др.</t>
  </si>
  <si>
    <t>│   ├── Ex : string? - Взрывозащита оборудования: Ex.d (взрывонепроницаемая), Ex.i (искробезопасная), "-" (не требуется)</t>
  </si>
  <si>
    <t>│   ├── SubSys : string? - Идентификатор подсистемы (например, номер стойки или шкафа)</t>
  </si>
  <si>
    <t>│   └── Aux : string? - Вспомогательный прибор (сигнальный изолятор, преобразователь)</t>
  </si>
  <si>
    <t>│   ├── Primary : Range? - Основной диапазон измерения (используется для масштабирования сигнала)</t>
  </si>
  <si>
    <t>│   │   ├── Min : decimal? - Минимальное значение диапазона (по умолчанию 0)</t>
  </si>
  <si>
    <t>│   │   ├── Max : decimal? - Максимальное значение диапазона (по умолчанию 100)</t>
  </si>
  <si>
    <t>│   │   └── Unit : string? - Единица измерения (мм, kPa, ℃, %VOL, μS/cm, PH)</t>
  </si>
  <si>
    <t>│   ├── Secondary : Range? - Вторичный диапазон измерения (для пересчета в другие единицы)</t>
  </si>
  <si>
    <t>│   │   ├── Min : decimal? - Минимальное значение вторичного диапазона</t>
  </si>
  <si>
    <t>│   │   ├── Max : decimal? - Максимальное значение вторичного диапазона</t>
  </si>
  <si>
    <t>│   │   └── Unit : string? - Единица измерения вторичного диапазона</t>
  </si>
  <si>
    <t>│   ├── Alarms : Alarm? - Уставки аварийной сигнализации (для предупреждений и отключений)</t>
  </si>
  <si>
    <t>│   │   ├── LL : decimal? - Авария "Нижний-Нижний" (критичный низкий уровень, остановка процесса)</t>
  </si>
  <si>
    <t>│   │   ├── LL2 : decimal? - Второй "Нижний-Нижний" (дополнительный критичный уровень)</t>
  </si>
  <si>
    <t>│   │   ├── L : decimal? - Предупреждение "Нижний" (внимание оператора, низкий уровень)</t>
  </si>
  <si>
    <t>│   │   ├── H : decimal? - Предупреждение "Верхний" (внимание оператора, высокий уровень)</t>
  </si>
  <si>
    <t>│   │   ├── HH : decimal? - Авария "Верхний-Верхний" (критичный высокий уровень, остановка процесса)</t>
  </si>
  <si>
    <t>│   │   └── HH2 : decimal? - Второй "Верхний-Верхний" (дополнительный критичный уровень)</t>
  </si>
  <si>
    <t>│   └── AlarmUnit : string? - Единица измерения для уставок (если отличается от Primary)</t>
  </si>
  <si>
    <t>│   ├── Id : string? - Уникальный идентификатор кабеля (по проектной документации)</t>
  </si>
  <si>
    <t>│   ├── Desc : string? - Описание кабеля (назначение, куда подключен)</t>
  </si>
  <si>
    <t>│   ├── Type : string? - Полный тип кабеля (количество и сечение жил, изоляция, оболочка)</t>
  </si>
  <si>
    <t>│   ├── Desig : string? - Обозначение кабеля по проектной документации</t>
  </si>
  <si>
    <t>│   ├── From : string? - Начальная точка кабеля (откуда идет, например "2701-S-JB-D018")</t>
  </si>
  <si>
    <t>│   ├── To : string? - Конечная точка кабеля (куда идет, например "SIS")</t>
  </si>
  <si>
    <t>│   ├── Len : int? - Длина кабеля в метрах (целое число)</t>
  </si>
  <si>
    <t>│   ├── Color : string? - Цвет кабеля или цвет изоляции жилы (BK - черный, BU - синий)</t>
  </si>
  <si>
    <t>│   ├── Pair : int? - Номер пары или жилы внутри кабеля</t>
  </si>
  <si>
    <t>│   ├── Note : string? - Дополнительное примечание по кабелю (изменения, особые условия)</t>
  </si>
  <si>
    <t>│   ├── TitleAker : string? - Наименование кабеля по документации Aker Solutions</t>
  </si>
  <si>
    <t>│   ├── Drum : string? - Номер барабана для учета кабеля при монтаже</t>
  </si>
  <si>
    <t>│   └── Volt : string? - Напряжение питания для активных устройств (если применимо)</t>
  </si>
  <si>
    <t>│   ├── CableTecon : string? - Идентификатор кабеля по документации TECON (подрядчик)</t>
  </si>
  <si>
    <t>│   ├── Mcc : string? - Номер подстанции MCC (Motor Control Center) для моторных сигналов</t>
  </si>
  <si>
    <t>│   ├── CtrlCab : string? - Идентификатор шкафа управления (Control Cabinet)</t>
  </si>
  <si>
    <t>│   ├── MarshCab : string? - Идентификатор шкафа маршаллинга (Marshalling Cabinet)</t>
  </si>
  <si>
    <t>│   ├── Cpu : string? - Тег процессора (CPU) в системе управления</t>
  </si>
  <si>
    <t>│   ├── Chassis : Chassis? - Шасси (стойка) контроллера</t>
  </si>
  <si>
    <t>│   │   ├── Main : string? - Идентификатор основного шасси (стойки)</t>
  </si>
  <si>
    <t>│   │   └── Red : string? - Идентификатор резервного шасси (для горячего резервирования)</t>
  </si>
  <si>
    <t>│   └── Module : Module? - Модуль ввода-вывода (I/O Module)</t>
  </si>
  <si>
    <t>│       ├── Slot : string? - Номер слота основного модуля (например, A11, A13)</t>
  </si>
  <si>
    <t>│       ├── SlotRed : string? - Номер слота резервного модуля (например, A12, A14)</t>
  </si>
  <si>
    <t>│       ├── Main1 : string? - Идентификатор основного модуля 1 (для двухканальных модулей)</t>
  </si>
  <si>
    <t>│       ├── Main2 : string? - Идентификатор основного модуля 2 (для двухканальных модулей)</t>
  </si>
  <si>
    <t>│       ├── Red1 : string? - Идентификатор резервного модуля 1</t>
  </si>
  <si>
    <t>│       ├── Red2 : string? - Идентификатор резервного модуля 2</t>
  </si>
  <si>
    <t>│       ├── Ch : int? - Номер канала внутри модуля (например, 20, 21)</t>
  </si>
  <si>
    <t>│       └── Type : string? - Тип модуля ввода-вывода (DI32, DO32P, AI16H и др.)</t>
  </si>
  <si>
    <t xml:space="preserve">    ├── No : int? - Номер ревизии (версия данных)</t>
  </si>
  <si>
    <t xml:space="preserve">    ├── Desc : string? - Подробное описание изменений в текущей ревизии</t>
  </si>
  <si>
    <t xml:space="preserve">    ├── Package : string? - Оборудование поставщика (пакетное оборудование, например "SDPump", "VINCI")</t>
  </si>
  <si>
    <t xml:space="preserve">    ├── Field1 : string? - Дополнительное поле 1 (может содержать имя поставщика, например "Xinhui")</t>
  </si>
  <si>
    <t xml:space="preserve">    ├── Field2 : string? - Дополнительное поле 2</t>
  </si>
  <si>
    <t xml:space="preserve">    ├── Doc : string? - Ссылка на техническую документацию (номер документа, статус)</t>
  </si>
  <si>
    <t xml:space="preserve">    ├── Aker : string? - Ревизия от Aker Solutions (если применимо)</t>
  </si>
  <si>
    <t xml:space="preserve">    ├── FileName : string? - Имя файла-источника данных (откуда загружена информация)</t>
  </si>
  <si>
    <t xml:space="preserve">    ├── Author : string? - Автор, создавший запись (ответственный за ввод данных)</t>
  </si>
  <si>
    <t xml:space="preserve">    ├── DateEntered : DateTime? - Дата и время ввода информации в систему</t>
  </si>
  <si>
    <t xml:space="preserve">    └── RowNumber : int? - Номер строки в документе-источнике (для обратного прослеживания)</t>
  </si>
  <si>
    <t>## 📋 Детальное описание всех классов</t>
  </si>
  <si>
    <t>### 1. IOPoint (Точка ввода-вывода)</t>
  </si>
  <si>
    <t>Главный класс, объединяющий все аспекты точки ввода-вывода в системах автоматизации.</t>
  </si>
  <si>
    <t>| Свойство | Тип | Описание | Обязательность |</t>
  </si>
  <si>
    <t>|:---|:---|:---|:---|</t>
  </si>
  <si>
    <t>| `Id` | `Identification?` | Идентификационные данные точки (тег, контур, номер, описания) | Нет |</t>
  </si>
  <si>
    <t>| `Signal` | `Signal?` | Технологические параметры сигнала (тип прибора, место установки, взрывозащита) | Нет |</t>
  </si>
  <si>
    <t>| `Ranges` | `Ranges?` | Диапазоны измерений и уставки аварийной сигнализации | Нет |</t>
  </si>
  <si>
    <t>| `Cable` | `Cable?` | Данные о кабельном хозяйстве (кабель, цвет, длина, маршрут) | Нет |</t>
  </si>
  <si>
    <t>| `Hardware` | `Controller?` | Привязка к оборудованию контроллера (шкафы, стойки, модули, каналы) | Нет |</t>
  </si>
  <si>
    <t>| `Rev` | `Revision?` | Информация о версиях и ревизиях документации | Нет |</t>
  </si>
  <si>
    <t>### 2. Identification (Идентификационные данные)</t>
  </si>
  <si>
    <t>Содержит все идентификаторы точки: теги, контуры, номера, описания.</t>
  </si>
  <si>
    <t>| Свойство | Тип | Описание | Пример |</t>
  </si>
  <si>
    <t>| `Code` | `int?` | Порядковый номер строки в списке (из колонки "Код") | `45` |</t>
  </si>
  <si>
    <t>| `Area` | `int?` | Номер технологической установки/зоны (географическое расположение) | `1400` |</t>
  </si>
  <si>
    <t>| `Title` | `string?` | Номер установки/зоны (функциональное наименование) | `"1401"` |</t>
  </si>
  <si>
    <t>| `Loop` | `string?` | Технологический контур (связывает точки одного процесса) | `"2701-XV-10101A"` |</t>
  </si>
  <si>
    <t>| `iLoop` | `string?` | Вложенный субконтур (детализация внутри основного контура) | `"2701-X-10105A"` |</t>
  </si>
  <si>
    <t>| `Loop_pc` | `string?` | Технологический контур (технологическое разделение) | `"2701-X-10101A"` |</t>
  </si>
  <si>
    <t>| `Tag` | `string?` | Уникальный тег устройства (главный идентификатор) | `"2701-XZY-10101A"` |</t>
  </si>
  <si>
    <t>| `ParsedTag` | `InstrumentTag?` | Распарсенный тег (структурированные компоненты) | См. InstrumentTag |</t>
  </si>
  <si>
    <t>| `Tag_Prc` | `string?` | Технологический тег устройства (для технологических схем) | `"2701-XZY-10101A"` |</t>
  </si>
  <si>
    <t>| `Service` | `string?` | Технологическое описание сигнала (на русском языке) | `"Распределительный клапан для впуска стирола"` |</t>
  </si>
  <si>
    <t>| `InstrumentType` | `string?` | Тип прибора/устройства (на русском языке) | `"Электромагнитный клапан"` |</t>
  </si>
  <si>
    <t>| `Service_Eng` | `string?` | Технологическое описание сигнала (на английском языке) | `"Styrene Inlet Switch Valve"` |</t>
  </si>
  <si>
    <t>| `InstrumentTypeEng` | `string?` | Тип прибора/устройства (на английском языке) | `"Solenoid valve"` |</t>
  </si>
  <si>
    <t>| `Sys` | `SystemType?` | Тип системы управления (DCS/SCS/GDS) | `DCS` |</t>
  </si>
  <si>
    <t>| `IO_Type` | `string?` | Тип сигнала ввода-вывода (DO - дискретный выход, AI - аналоговый вход) | `"DO"` |</t>
  </si>
  <si>
    <t>| `Controller` | `string?` | Имя контроллера (FCS, SCS, GDS) в системе управления | `"2000-S-SC-B01"` |</t>
  </si>
  <si>
    <t>| `Location` | `string?` | Место установки оборудования (Field, SIS, MCC) | `"Field"` |</t>
  </si>
  <si>
    <t>| `Pid` | `string?` | Номер P&amp;ID для привязки к схеме | `"2490156-1401-PR007-0101A"` |</t>
  </si>
  <si>
    <t>### 3. InstrumentTag (Парсер тегов)</t>
  </si>
  <si>
    <t>Парсер промышленных тегов с автоматическим разбором структуры.</t>
  </si>
  <si>
    <t>| `Area` | `string?` | Код площадки/завода (технологическая установка) | `"2701"` | **0-6 ЦИФР!** |</t>
  </si>
  <si>
    <t>**Примеры парсинга:**</t>
  </si>
  <si>
    <t>### 4. Signal (Технологические параметры сигнала)</t>
  </si>
  <si>
    <t>Детальная информация о сигнале: тип прибора, взрывозащита, тип сигнала.</t>
  </si>
  <si>
    <t>| `Service` | `string?` | Технологическое описание сигнала (полное наименование) | `"Styrene Inlet Switch Valve of 2701-TK-1205A"` |</t>
  </si>
  <si>
    <t>| `InstType` | `string?` | Тип прибора/устройства (полное наименование) | `"Solenoid valve"` |</t>
  </si>
  <si>
    <t>| `Sys` | `string?` | Идентификатор системы управления (FCS, SCS, GDS) | `"2000-S-SC-B01"` |</t>
  </si>
  <si>
    <t>| `SysType` | `SystemType?` | Тип системы управления (DCS/SCS/GDS) | `DCS` |</t>
  </si>
  <si>
    <t>| `Pid` | `string?` | Номер листа P&amp;ID для привязки к технологической схеме | `"2490156-1401-PR007-0101A"` |</t>
  </si>
  <si>
    <t>| `Loc` | `string?` | Место установки/подключения сигнала (Field, SIS, MCC, AUX, GDS) | `"Field"` |</t>
  </si>
  <si>
    <t>| `SigType` | `string?` | Тип сигнала (I/O Type): DOR-P, DIR(I)-NAMUR, AIR-LP и др. | `"DOR-P"` |</t>
  </si>
  <si>
    <t>| `Ex` | `string?` | Взрывозащита оборудования: Ex.d (взрывонепроницаемая), Ex.i (искробезопасная), "-" (не требуется) | `"Ex.d"` |</t>
  </si>
  <si>
    <t>| `SubSys` | `string?` | Идентификатор подсистемы (например, номер стойки или шкафа) | `"RACK-01"` |</t>
  </si>
  <si>
    <t>| `Aux` | `string?` | Вспомогательный прибор (сигнальный изолятор, преобразователь) | `"Isolator-01"` |</t>
  </si>
  <si>
    <t>### 5. Ranges (Диапазоны и уставки)</t>
  </si>
  <si>
    <t>Диапазоны измерений и уставки аварийной сигнализации.</t>
  </si>
  <si>
    <t>| `Primary` | `Range?` | Основной диапазон измерения (используется для масштабирования сигнала) |</t>
  </si>
  <si>
    <t>| `Secondary` | `Range?` | Вторичный диапазон измерения (для пересчета в другие единицы) |</t>
  </si>
  <si>
    <t>| `Alarms` | `Alarm?` | Уставки аварийной сигнализации (для предупреждений и отключений) |</t>
  </si>
  <si>
    <t>| `AlarmUnit` | `string?` | Единица измерения для уставок (если отличается от Primary) |</t>
  </si>
  <si>
    <t>#### 5.1. Range (Диапазон)</t>
  </si>
  <si>
    <t>| `Min` | `decimal?` | Минимальное значение диапазона (по умолчанию 0) | `0` |</t>
  </si>
  <si>
    <t>| `Max` | `decimal?` | Максимальное значение диапазона (по умолчанию 100) | `100` |</t>
  </si>
  <si>
    <t>| `Unit` | `string?` | Единица измерения (мм, kPa, ℃, %VOL, μS/cm, PH) | `"%"` |</t>
  </si>
  <si>
    <t>#### 5.2. Alarm (Уставки аварийной сигнализации)</t>
  </si>
  <si>
    <t>| `LL` | `decimal?` | Авария "Нижний-Нижний" (критичный низкий уровень, остановка процесса) | `10` |</t>
  </si>
  <si>
    <t>| `LL2` | `decimal?` | Второй "Нижний-Нижний" (дополнительный критичный уровень) | `5` |</t>
  </si>
  <si>
    <t>| `L` | `decimal?` | Предупреждение "Нижний" (внимание оператора, низкий уровень) | `20` |</t>
  </si>
  <si>
    <t>| `H` | `decimal?` | Предупреждение "Верхний" (внимание оператора, высокий уровень) | `80` |</t>
  </si>
  <si>
    <t>| `HH` | `decimal?` | Авария "Верхний-Верхний" (критичный высокий уровень, остановка процесса) | `90` |</t>
  </si>
  <si>
    <t>| `HH2` | `decimal?` | Второй "Верхний-Верхний" (дополнительный критичный уровень) | `95` |</t>
  </si>
  <si>
    <t>**Иерархия уровней:**</t>
  </si>
  <si>
    <t>LL2 ← LL ← L ←─── НОРМА ───→ H → HH → HH2</t>
  </si>
  <si>
    <t>(крит) (крит) (пред)          (пред) (крит) (крит)</t>
  </si>
  <si>
    <t>### 6. Cable (Кабельное хозяйство)</t>
  </si>
  <si>
    <t>Информация о физическом подключении сигнала.</t>
  </si>
  <si>
    <t>| `Id` | `string?` | Уникальный идентификатор кабеля (по проектной документации) | `"CBL-001"` |</t>
  </si>
  <si>
    <t>| `Desc` | `string?` | Описание кабеля (назначение, куда подключен) | `"Кабель к клапану 2701-XV-10101A"` |</t>
  </si>
  <si>
    <t>| `Type` | `string?` | Полный тип кабеля (количество и сечение жил, изоляция, оболочка) | `"NH-KYJVP3 37x2.5mm2"` |</t>
  </si>
  <si>
    <t>| `Desig` | `string?` | Обозначение кабеля по проектной документации | `"C-101"` |</t>
  </si>
  <si>
    <t>| `From` | `string?` | Начальная точка кабеля (откуда идет) | `"2701-S-JB-D018"` |</t>
  </si>
  <si>
    <t>| `To` | `string?` | Конечная точка кабеля (куда идет) | `"SIS"` |</t>
  </si>
  <si>
    <t>| `Len` | `int?` | Длина кабеля в метрах (целое число) | `150` |</t>
  </si>
  <si>
    <t>| `Color` | `string?` | Цвет кабеля или цвет изоляции жилы (BK - черный, BU - синий) | `"BK"` |</t>
  </si>
  <si>
    <t>| `Pair` | `int?` | Номер пары или жилы внутри кабеля | `3` |</t>
  </si>
  <si>
    <t>| `Note` | `string?` | Дополнительное примечание по кабелю (изменения, особые условия) | `"Прокладка по лотку L-01"` |</t>
  </si>
  <si>
    <t>| `TitleAker` | `string?` | Наименование кабеля по документации Aker Solutions | `"CABLE-101"` |</t>
  </si>
  <si>
    <t>| `Drum` | `string?` | Номер барабана для учета кабеля при монтаже | `"DR-001"` |</t>
  </si>
  <si>
    <t>| `Volt` | `string?` | Напряжение питания для активных устройств (если применимо) | `"24VDC"` |</t>
  </si>
  <si>
    <t>### 7. Controller (Оборудование контроллера)</t>
  </si>
  <si>
    <t>Привязка сигнала к аппаратным средствам контроллера.</t>
  </si>
  <si>
    <t>| `CableTecon` | `string?` | Идентификатор кабеля по документации TECON (подрядчик) | `"TECON-CBL-01"` |</t>
  </si>
  <si>
    <t>| `Mcc` | `string?` | Номер подстанции MCC (Motor Control Center) для моторных сигналов | `"MCC-1401"` |</t>
  </si>
  <si>
    <t>| `CtrlCab` | `string?` | Идентификатор шкафа управления (Control Cabinet) | `"CC-01"` |</t>
  </si>
  <si>
    <t>| `MarshCab` | `string?` | Идентификатор шкафа маршаллинга (Marshalling Cabinet) | `"MC-01"` |</t>
  </si>
  <si>
    <t>| `Cpu` | `string?` | Тег процессора (CPU) в системе управления | `"CPU-01"` |</t>
  </si>
  <si>
    <t>| `Chassis` | `Chassis?` | Шасси (стойка) контроллера | См. ниже |</t>
  </si>
  <si>
    <t>| `Module` | `Module?` | Модуль ввода-вывода (I/O Module) | См. ниже |</t>
  </si>
  <si>
    <t>#### 7.1. Chassis (Шасси)</t>
  </si>
  <si>
    <t>| `Main` | `string?` | Идентификатор основного шасси (стойки) | `"CH-01"` |</t>
  </si>
  <si>
    <t>| `Red` | `string?` | Идентификатор резервного шасси (для горячего резервирования) | `"CH-02"` |</t>
  </si>
  <si>
    <t>#### 7.2. Module (Модуль ввода-вывода)</t>
  </si>
  <si>
    <t>| `Slot` | `string?` | Номер слота основного модуля (например, A11, A13) | `"A11"` |</t>
  </si>
  <si>
    <t>| `SlotRed` | `string?` | Номер слота резервного модуля (например, A12, A14) | `"A12"` |</t>
  </si>
  <si>
    <t>| `Main1` | `string?` | Идентификатор основного модуля 1 (для двухканальных модулей) | `"M-01"` |</t>
  </si>
  <si>
    <t>| `Main2` | `string?` | Идентификатор основного модуля 2 (для двухканальных модулей) | `"M-02"` |</t>
  </si>
  <si>
    <t>| `Red1` | `string?` | Идентификатор резервного модуля 1 | `"RM-01"` |</t>
  </si>
  <si>
    <t>| `Red2` | `string?` | Идентификатор резервного модуля 2 | `"RM-02"` |</t>
  </si>
  <si>
    <t>| `Ch` | `int?` | Номер канала внутри модуля (например, 20, 21) | `20` |</t>
  </si>
  <si>
    <t>| `Type` | `string?` | Тип модуля ввода-вывода (DI32, DO32P, AI16H и др.) | `"DO32P"` |</t>
  </si>
  <si>
    <t>### 8. Revision (Управление версиями)</t>
  </si>
  <si>
    <t>Информация о версиях, ревизиях документации и метаданных источника.</t>
  </si>
  <si>
    <t>| `No` | `int?` | Номер ревизии (версия данных) | `3` |</t>
  </si>
  <si>
    <t>| `Desc` | `string?` | Подробное описание изменений в текущей ревизии | `"Изменение типа кабеля на NH-KYJVP3"` |</t>
  </si>
  <si>
    <t>| `Package` | `string?` | Оборудование поставщика (пакетное оборудование) | `"SDPump"` |</t>
  </si>
  <si>
    <t>| `Field1` | `string?` | Дополнительное поле 1 (может содержать имя поставщика) | `"Xinhui"` |</t>
  </si>
  <si>
    <t>| `Field2` | `string?` | Дополнительное поле 2 | `"Rev.2"` |</t>
  </si>
  <si>
    <t>| `Doc` | `string?` | Ссылка на техническую документацию (номер документа, статус) | `"DOC-001-Rev3"` |</t>
  </si>
  <si>
    <t>| `Aker` | `string?` | Ревизия от Aker Solutions (если применимо) | `"AKER-001-R2"` |</t>
  </si>
  <si>
    <t>| `FileName` | `string?` | Имя файла-источника данных (откуда загружена информация) | `"PJT1_IOclass.xlsx"` |</t>
  </si>
  <si>
    <t>| `Author` | `string?` | Автор, создавший запись (ответственный за ввод данных) | `"Ivanov I.I."` |</t>
  </si>
  <si>
    <t>| `DateEntered` | `DateTime?` | Дата и время ввода информации в систему | `2026-07-28 15:30:00` |</t>
  </si>
  <si>
    <t>| `RowNumber` | `int?` | Номер строки в документе-источнике (для обратного прослеживания) | `45` |</t>
  </si>
  <si>
    <t>### 9. SystemType (Перечисление)</t>
  </si>
  <si>
    <t>Тип системы управления.</t>
  </si>
  <si>
    <t>| Значение | Описание |</t>
  </si>
  <si>
    <t>|:---|:---|</t>
  </si>
  <si>
    <t>| `DCS` | Распределенная система управления (основной техпроцесс) |</t>
  </si>
  <si>
    <t>| `SCS` | Система безопасности / SIS (Safety Instrumented System) |</t>
  </si>
  <si>
    <t>| `GDS` | Система обнаружения газа (Gas Detection System) |</t>
  </si>
  <si>
    <t>## 📊 Схема связей между классами</t>
  </si>
  <si>
    <t>┌─────────────────────────────────────────────────────────────────────────────────┐</t>
  </si>
  <si>
    <t>│                                   IOPoint                                      │</t>
  </si>
  <si>
    <t>│                              Точка ввода-вывода                                 │</t>
  </si>
  <si>
    <t>├─────────────────────────────────────────────────────────────────────────────────┤</t>
  </si>
  <si>
    <t>│  +Id           : Identification?                                               │</t>
  </si>
  <si>
    <t>│  +Signal       : Signal?                                                       │</t>
  </si>
  <si>
    <t>│  +Ranges       : Ranges?                                                       │</t>
  </si>
  <si>
    <t>│  +Cable        : Cable?                                                        │</t>
  </si>
  <si>
    <t>│  +Hardware     : Controller?                                                   │</t>
  </si>
  <si>
    <t>│  +Rev          : Revision?                                                     │</t>
  </si>
  <si>
    <t>└─────────────────────────────────────────────────────────────────────────────────┘</t>
  </si>
  <si>
    <t xml:space="preserve">         │                    │                    │</t>
  </si>
  <si>
    <t xml:space="preserve">         ▼                    ▼                    ▼</t>
  </si>
  <si>
    <t>┌─────────────────┐  ┌─────────────────┐  ┌─────────────────────────────────────┐</t>
  </si>
  <si>
    <t>│  Identification │  │     Signal      │  │               Ranges                 │</t>
  </si>
  <si>
    <t>│  Идентификация  │  │     Сигнал      │  │        Диапазоны и уставки          │</t>
  </si>
  <si>
    <t>├─────────────────┤  ├─────────────────┤  ├─────────────────────────────────────┤</t>
  </si>
  <si>
    <t>│  +Code          │  │  +Service       │  │  +Primary    : Range?               │</t>
  </si>
  <si>
    <t>│  +Area          │  │  +InstType      │  │  +Secondary  : Range?               │</t>
  </si>
  <si>
    <t>│  +Title         │  │  +Sys           │  │  +Alarms     : Alarm?               │</t>
  </si>
  <si>
    <t>│  +Loop          │  │  +SysType       │  │  +AlarmUnit  : string?              │</t>
  </si>
  <si>
    <t>│  +iLoop         │  │  +Pid           │  │                                     │</t>
  </si>
  <si>
    <t>│  +Loop_pc       │  │  +Loc           │  │  ┌───────────────────────────────┐  │</t>
  </si>
  <si>
    <t>│  +Tag           │  │  +SigType       │  │  │           Range              │  │</t>
  </si>
  <si>
    <t>│  +ParsedTag─────┼──┼──┼──────────────┼──┼──┤  +Min : decimal?            │  │</t>
  </si>
  <si>
    <t>│  +Tag_Prc       │  │  +Ex            │  │  │  +Max : decimal?            │  │</t>
  </si>
  <si>
    <t>│  +Service       │  │  +SubSys        │  │  │  +Unit : string?            │  │</t>
  </si>
  <si>
    <t>│  +InstrumentType│  │  +Aux           │  │  └───────────────────────────────┘  │</t>
  </si>
  <si>
    <t>│  +Service_Eng   │  │                 │  │  ┌───────────────────────────────┐  │</t>
  </si>
  <si>
    <t>│  +InstrumentType│  │                 │  │  │           Alarm              │  │</t>
  </si>
  <si>
    <t>│  +Sys           │  │                 │  │  │  +LL  : decimal?            │  │</t>
  </si>
  <si>
    <t>│  +IO_Type       │  │                 │  │  │  +LL2 : decimal?            │  │</t>
  </si>
  <si>
    <t>│  +Controller    │  │                 │  │  │  +L   : decimal?            │  │</t>
  </si>
  <si>
    <t>│  +Location      │  │                 │  │  │  +H   : decimal?            │  │</t>
  </si>
  <si>
    <t>│  +Pid           │  │                 │  │  │  +HH  : decimal?            │  │</t>
  </si>
  <si>
    <t>└─────────────────┘  └─────────────────┘  │  │  +HH2 : decimal?            │  │</t>
  </si>
  <si>
    <t xml:space="preserve">         │                                │  └───────────────────────────────┘  │</t>
  </si>
  <si>
    <t xml:space="preserve">         ▼                                └─────────────────────────────────────┘</t>
  </si>
  <si>
    <t>│                    InstrumentTag (Parser)                                       │</t>
  </si>
  <si>
    <t>│                    Парсер промышленных тегов                                    │</t>
  </si>
  <si>
    <t>│  +Area          : string?          - Код площадки (0-6 ЦИФР!)                  │</t>
  </si>
  <si>
    <t>│  +DeviceClass   : string?          - Класс прибора (1-5 букв)                 │</t>
  </si>
  <si>
    <t>│  +Loop          : string?          - Номер контура (1-5 цифр)                 │</t>
  </si>
  <si>
    <t>│  +TagNumber     : string?          - Номер прибора (0-3 ЦИФРЫ!)              │</t>
  </si>
  <si>
    <t>│  +Suffix        : string?          - Суффикс (0-3 символа)                    │</t>
  </si>
  <si>
    <t>│  +FullTag       : string?          - Исходный тег                             │</t>
  </si>
  <si>
    <t>│  +Separator     : char?            - Определенный разделитель                 │</t>
  </si>
  <si>
    <t>## 📊 Сводная таблица всех свойств</t>
  </si>
  <si>
    <t>| Класс | Свойства | Количество |</t>
  </si>
  <si>
    <t>| **IOPoint** | Id, Signal, Ranges, Cable, Hardware, Rev | 6 |</t>
  </si>
  <si>
    <t>| **Identification** | Code, Area, Title, Loop, iLoop, Loop_pc, Tag, ParsedTag, Tag_Prc, Service, InstrumentType, Service_Eng, InstrumentTypeEng, Sys, IO_Type, Controller, Location, Pid | 18 |</t>
  </si>
  <si>
    <t>| **InstrumentTag** | Area, DeviceClass, Loop, TagNumber, Suffix, FullTag, Separator | 7 |</t>
  </si>
  <si>
    <t>| **Signal** | Service, InstType, Sys, SysType, Pid, Loc, SigType, Ex, SubSys, Aux | 10 |</t>
  </si>
  <si>
    <t>| **Ranges** | Primary, Secondary, Alarms, AlarmUnit | 4 |</t>
  </si>
  <si>
    <t>| **Range** | Min, Max, Unit | 3 |</t>
  </si>
  <si>
    <t>| **Alarm** | LL, LL2, L, H, HH, HH2 | 6 |</t>
  </si>
  <si>
    <t>| **Cable** | Id, Desc, Type, Desig, From, To, Len, Color, Pair, Note, TitleAker, Drum, Volt | 13 |</t>
  </si>
  <si>
    <t>| **Controller** | CableTecon, Mcc, CtrlCab, MarshCab, Cpu, Chassis, Module | 7 |</t>
  </si>
  <si>
    <t>| **Chassis** | Main, Red | 2 |</t>
  </si>
  <si>
    <t>| **Module** | Slot, SlotRed, Main1, Main2, Red1, Red2, Ch, Type | 8 |</t>
  </si>
  <si>
    <t>| **Revision** | No, Desc, Package, Field1, Field2, Doc, Aker, FileName, Author, DateEntered, RowNumber | 11 |</t>
  </si>
  <si>
    <t xml:space="preserve">**Всего классов:** 12  </t>
  </si>
  <si>
    <t>**Всего свойств:** 95</t>
  </si>
  <si>
    <t>## 📋 Полный пример заполненного объекта</t>
  </si>
  <si>
    <t>```yaml</t>
  </si>
  <si>
    <t>IOPoint:</t>
  </si>
  <si>
    <t xml:space="preserve">  Id:</t>
  </si>
  <si>
    <t xml:space="preserve">    Code: 45</t>
  </si>
  <si>
    <t xml:space="preserve">    Area: 1400</t>
  </si>
  <si>
    <t xml:space="preserve">    Title: "1401"</t>
  </si>
  <si>
    <t xml:space="preserve">    Loop: "2701-XV-10101A"</t>
  </si>
  <si>
    <t xml:space="preserve">    iLoop: "2701-X-10105A"</t>
  </si>
  <si>
    <t xml:space="preserve">    Loop_pc: "2701-X-10101A"</t>
  </si>
  <si>
    <t xml:space="preserve">    Tag: "2701-XZY-10101A"</t>
  </si>
  <si>
    <t xml:space="preserve">    ParsedTag:</t>
  </si>
  <si>
    <t xml:space="preserve">      Area: "2701"</t>
  </si>
  <si>
    <t xml:space="preserve">      DeviceClass: "XZY"</t>
  </si>
  <si>
    <t xml:space="preserve">      Loop: "10101"</t>
  </si>
  <si>
    <t xml:space="preserve">      TagNumber: "01"           # ⚠️ ТОЛЬКО ЦИФРЫ!</t>
  </si>
  <si>
    <t xml:space="preserve">      Suffix: "A"</t>
  </si>
  <si>
    <t xml:space="preserve">      FullTag: "2701-XZY-10101A"</t>
  </si>
  <si>
    <t xml:space="preserve">      Separator: "-"</t>
  </si>
  <si>
    <t xml:space="preserve">    Tag_Prc: "2701-XZY-10101A"  # Технологический тег</t>
  </si>
  <si>
    <t xml:space="preserve">    Service: "Распределительный клапан для впуска стирола"</t>
  </si>
  <si>
    <t xml:space="preserve">    InstrumentType: "Электромагнитный клапан"</t>
  </si>
  <si>
    <t xml:space="preserve">    Service_Eng: "Styrene Inlet Switch Valve"</t>
  </si>
  <si>
    <t xml:space="preserve">    InstrumentTypeEng: "Solenoid valve"</t>
  </si>
  <si>
    <t xml:space="preserve">    Sys: DCS</t>
  </si>
  <si>
    <t xml:space="preserve">    IO_Type: "DO"</t>
  </si>
  <si>
    <t xml:space="preserve">    Controller: "2000-S-SC-B01"</t>
  </si>
  <si>
    <t xml:space="preserve">    Location: "Field"</t>
  </si>
  <si>
    <t xml:space="preserve">    Pid: "2490156-1401-PR007-0101A"</t>
  </si>
  <si>
    <t xml:space="preserve">  Signal:</t>
  </si>
  <si>
    <t xml:space="preserve">    Service: "Styrene Inlet Switch Valve of 2701-TK-1205A"</t>
  </si>
  <si>
    <t xml:space="preserve">    InstType: "Solenoid valve"</t>
  </si>
  <si>
    <t xml:space="preserve">    Sys: "2000-S-SC-B01"</t>
  </si>
  <si>
    <t xml:space="preserve">    SysType: DCS</t>
  </si>
  <si>
    <t xml:space="preserve">    Loc: "Field"</t>
  </si>
  <si>
    <t xml:space="preserve">    SigType: "DOR-P"</t>
  </si>
  <si>
    <t xml:space="preserve">    Ex: "Ex.d"</t>
  </si>
  <si>
    <t xml:space="preserve">    SubSys: "RACK-01"</t>
  </si>
  <si>
    <t xml:space="preserve">    Aux: "Isolator-01"</t>
  </si>
  <si>
    <t xml:space="preserve">  Ranges:</t>
  </si>
  <si>
    <t xml:space="preserve">    Primary:</t>
  </si>
  <si>
    <t xml:space="preserve">      Min: 0</t>
  </si>
  <si>
    <t xml:space="preserve">      Max: 100</t>
  </si>
  <si>
    <t xml:space="preserve">      Unit: "%"</t>
  </si>
  <si>
    <t xml:space="preserve">    Secondary:</t>
  </si>
  <si>
    <t xml:space="preserve">      Max: 50</t>
  </si>
  <si>
    <t xml:space="preserve">      Unit: "mm"</t>
  </si>
  <si>
    <t xml:space="preserve">    Alarms:</t>
  </si>
  <si>
    <t xml:space="preserve">      LL: 10          # Критичный нижний</t>
  </si>
  <si>
    <t xml:space="preserve">      LL2: 5          # Дополнительный критичный нижний</t>
  </si>
  <si>
    <t xml:space="preserve">      L: 20           # Нижнее предупреждение</t>
  </si>
  <si>
    <t xml:space="preserve">      H: 80           # Верхнее предупреждение</t>
  </si>
  <si>
    <t xml:space="preserve">      HH: 90          # Критичный верхний</t>
  </si>
  <si>
    <t xml:space="preserve">      HH2: 95         # Дополнительный критичный верхний</t>
  </si>
  <si>
    <t xml:space="preserve">    AlarmUnit: "%"</t>
  </si>
  <si>
    <t xml:space="preserve">  Cable:</t>
  </si>
  <si>
    <t xml:space="preserve">    Id: "CBL-001"</t>
  </si>
  <si>
    <t xml:space="preserve">    Desc: "Кабель к клапану 2701-XV-10101A"</t>
  </si>
  <si>
    <t xml:space="preserve">    Type: "NH-KYJVP3 37x2.5mm2"</t>
  </si>
  <si>
    <t xml:space="preserve">    Desig: "C-101"</t>
  </si>
  <si>
    <t xml:space="preserve">    From: "2701-S-JB-D018"</t>
  </si>
  <si>
    <t xml:space="preserve">    To: "SIS"</t>
  </si>
  <si>
    <t xml:space="preserve">    Len: 150</t>
  </si>
  <si>
    <t xml:space="preserve">    Color: "BK"</t>
  </si>
  <si>
    <t xml:space="preserve">    Pair: 3</t>
  </si>
  <si>
    <t xml:space="preserve">    Note: "Прокладка по лотку L-01"</t>
  </si>
  <si>
    <t xml:space="preserve">    TitleAker: "CABLE-101"</t>
  </si>
  <si>
    <t xml:space="preserve">    Drum: "DR-001"</t>
  </si>
  <si>
    <t xml:space="preserve">    Volt: "24VDC"</t>
  </si>
  <si>
    <t xml:space="preserve">  Hardware:</t>
  </si>
  <si>
    <t xml:space="preserve">    CableTecon: "TECON-CBL-01"</t>
  </si>
  <si>
    <t xml:space="preserve">    Mcc: "MCC-1401"</t>
  </si>
  <si>
    <t xml:space="preserve">    CtrlCab: "CC-01"</t>
  </si>
  <si>
    <t xml:space="preserve">    MarshCab: "MC-01"</t>
  </si>
  <si>
    <t xml:space="preserve">    Cpu: "CPU-01"</t>
  </si>
  <si>
    <t xml:space="preserve">    Chassis:</t>
  </si>
  <si>
    <t xml:space="preserve">      Main: "CH-01"</t>
  </si>
  <si>
    <t xml:space="preserve">      Red: "CH-02"</t>
  </si>
  <si>
    <t xml:space="preserve">    Module:</t>
  </si>
  <si>
    <t xml:space="preserve">      Slot: "A11"</t>
  </si>
  <si>
    <t xml:space="preserve">      SlotRed: "A12"</t>
  </si>
  <si>
    <t xml:space="preserve">      Main1: "M-01"</t>
  </si>
  <si>
    <t xml:space="preserve">      Main2: "M-02"</t>
  </si>
  <si>
    <t xml:space="preserve">      Red1: "RM-01"</t>
  </si>
  <si>
    <t xml:space="preserve">      Red2: "RM-02"</t>
  </si>
  <si>
    <t xml:space="preserve">      Ch: 20</t>
  </si>
  <si>
    <t xml:space="preserve">      Type: "DO32P"</t>
  </si>
  <si>
    <t xml:space="preserve">  Rev:</t>
  </si>
  <si>
    <t xml:space="preserve">    No: 3</t>
  </si>
  <si>
    <t xml:space="preserve">    Desc: "Изменение типа кабеля на NH-KYJVP3"</t>
  </si>
  <si>
    <t xml:space="preserve">    Package: "SDPump"</t>
  </si>
  <si>
    <t xml:space="preserve">    Field1: "Xinhui"</t>
  </si>
  <si>
    <t xml:space="preserve">    Field2: "Rev.2"</t>
  </si>
  <si>
    <t xml:space="preserve">    Doc: "DOC-001-Rev3"</t>
  </si>
  <si>
    <t xml:space="preserve">    Aker: "AKER-001-R2"</t>
  </si>
  <si>
    <t xml:space="preserve">    FileName: "PJT1_IOclass.xlsx"</t>
  </si>
  <si>
    <t xml:space="preserve">    Author: "Ivanov I.I."</t>
  </si>
  <si>
    <t xml:space="preserve">    DateEntered: 2026-07-28T15:30:00</t>
  </si>
  <si>
    <t xml:space="preserve">    RowNumber: 45</t>
  </si>
  <si>
    <t>## ✅ Ключевые особенности</t>
  </si>
  <si>
    <t>1. **Все свойства nullable** — гибкость при работе с неполными данными</t>
  </si>
  <si>
    <t>2. **Автоматический парсинг тегов** — через `InstrumentTag` (Area до 6 цифр!)</t>
  </si>
  <si>
    <t>3. **TagNumber — только цифры** — строгое правило парсинга</t>
  </si>
  <si>
    <t>4. **Двойные аварийные уровни** — `LL2` и `HH2` для дополнительной критической сигнализации</t>
  </si>
  <si>
    <t>5. **Полная иерархия** — от общего `IOPoint` до детальных подклассов</t>
  </si>
  <si>
    <t>6. **Поддержка DCS/SCS/GDS** — различные типы систем управления</t>
  </si>
  <si>
    <t>7. **Метаданные источника** — `FileName`, `Author`, `DateEntered`, `RowNumber` для аудита</t>
  </si>
  <si>
    <t>8. **Многоязычная поддержка** — описания на русском и английском языках</t>
  </si>
  <si>
    <t>9. **Технологический тег** — `Tag_Prc` для технологических схем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</si>
</sst>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9"/>
      <name val="Consolas"/>
      <family val="3"/>
      <charset val="204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2326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76D8-CA53-4B09-B92C-BA1DA3DF0772}">
  <dimension ref="A1:F537"/>
  <sheetViews>
    <sheetView tabSelected="1" workbookViewId="0">
      <selection activeCell="A14" sqref="A14"/>
    </sheetView>
  </sheetViews>
  <sheetFormatPr defaultRowHeight="14.5"/>
  <cols>
    <col min="1" max="1" width="74.453125" customWidth="1"/>
    <col min="3" max="3" width="15.08984375" customWidth="1"/>
    <col min="4" max="4" width="21.26953125" customWidth="1"/>
    <col min="5" max="5" width="19.453125" customWidth="1"/>
    <col min="6" max="6" width="18.81640625" customWidth="1"/>
  </cols>
  <sheetData>
    <row r="1" spans="1:6">
      <c r="A1" s="14" t="s">
        <v>295</v>
      </c>
    </row>
    <row r="2" spans="1:6">
      <c r="A2" s="15"/>
    </row>
    <row r="3" spans="1:6">
      <c r="A3" s="14" t="s">
        <v>270</v>
      </c>
    </row>
    <row r="4" spans="1:6" ht="23.5">
      <c r="A4" s="15"/>
      <c r="C4" s="1"/>
    </row>
    <row r="5" spans="1:6">
      <c r="A5" s="14" t="s">
        <v>67</v>
      </c>
    </row>
    <row r="6" spans="1:6">
      <c r="A6" s="14" t="s">
        <v>271</v>
      </c>
      <c r="C6" s="3"/>
      <c r="D6" s="3"/>
      <c r="E6" s="3"/>
      <c r="F6" s="3"/>
    </row>
    <row r="7" spans="1:6">
      <c r="A7" s="14" t="s">
        <v>6</v>
      </c>
      <c r="C7" s="5"/>
      <c r="D7" s="4"/>
      <c r="E7" s="4"/>
      <c r="F7" s="5"/>
    </row>
    <row r="8" spans="1:6">
      <c r="A8" s="14" t="s">
        <v>272</v>
      </c>
      <c r="C8" s="5"/>
      <c r="D8" s="4"/>
      <c r="E8" s="4"/>
      <c r="F8" s="5"/>
    </row>
    <row r="9" spans="1:6">
      <c r="A9" s="14" t="s">
        <v>296</v>
      </c>
    </row>
    <row r="10" spans="1:6">
      <c r="A10" s="14" t="s">
        <v>297</v>
      </c>
    </row>
    <row r="11" spans="1:6">
      <c r="A11" s="14" t="s">
        <v>298</v>
      </c>
    </row>
    <row r="12" spans="1:6">
      <c r="A12" s="14" t="s">
        <v>299</v>
      </c>
    </row>
    <row r="13" spans="1:6">
      <c r="A13" s="14" t="s">
        <v>300</v>
      </c>
    </row>
    <row r="14" spans="1:6">
      <c r="A14" s="14" t="s">
        <v>301</v>
      </c>
    </row>
    <row r="15" spans="1:6">
      <c r="A15" s="14" t="s">
        <v>302</v>
      </c>
    </row>
    <row r="16" spans="1:6">
      <c r="A16" s="14" t="s">
        <v>303</v>
      </c>
    </row>
    <row r="17" spans="1:1">
      <c r="A17" s="14" t="s">
        <v>304</v>
      </c>
    </row>
    <row r="18" spans="1:1">
      <c r="A18" s="14" t="s">
        <v>305</v>
      </c>
    </row>
    <row r="19" spans="1:1">
      <c r="A19" s="14" t="s">
        <v>306</v>
      </c>
    </row>
    <row r="20" spans="1:1">
      <c r="A20" s="14" t="s">
        <v>307</v>
      </c>
    </row>
    <row r="21" spans="1:1">
      <c r="A21" s="14" t="s">
        <v>308</v>
      </c>
    </row>
    <row r="22" spans="1:1">
      <c r="A22" s="14" t="s">
        <v>309</v>
      </c>
    </row>
    <row r="23" spans="1:1">
      <c r="A23" s="14" t="s">
        <v>310</v>
      </c>
    </row>
    <row r="24" spans="1:1">
      <c r="A24" s="14" t="s">
        <v>311</v>
      </c>
    </row>
    <row r="25" spans="1:1">
      <c r="A25" s="14" t="s">
        <v>312</v>
      </c>
    </row>
    <row r="26" spans="1:1">
      <c r="A26" s="14" t="s">
        <v>313</v>
      </c>
    </row>
    <row r="27" spans="1:1">
      <c r="A27" s="14" t="s">
        <v>314</v>
      </c>
    </row>
    <row r="28" spans="1:1">
      <c r="A28" s="14" t="s">
        <v>315</v>
      </c>
    </row>
    <row r="29" spans="1:1">
      <c r="A29" s="14" t="s">
        <v>316</v>
      </c>
    </row>
    <row r="30" spans="1:1">
      <c r="A30" s="14" t="s">
        <v>317</v>
      </c>
    </row>
    <row r="31" spans="1:1">
      <c r="A31" s="14" t="s">
        <v>318</v>
      </c>
    </row>
    <row r="32" spans="1:1">
      <c r="A32" s="14" t="s">
        <v>319</v>
      </c>
    </row>
    <row r="33" spans="1:1">
      <c r="A33" s="14" t="s">
        <v>320</v>
      </c>
    </row>
    <row r="34" spans="1:1">
      <c r="A34" s="14" t="s">
        <v>321</v>
      </c>
    </row>
    <row r="35" spans="1:1">
      <c r="A35" s="14" t="s">
        <v>322</v>
      </c>
    </row>
    <row r="36" spans="1:1">
      <c r="A36" s="14" t="s">
        <v>323</v>
      </c>
    </row>
    <row r="37" spans="1:1">
      <c r="A37" s="14" t="s">
        <v>324</v>
      </c>
    </row>
    <row r="38" spans="1:1">
      <c r="A38" s="14" t="s">
        <v>6</v>
      </c>
    </row>
    <row r="39" spans="1:1">
      <c r="A39" s="14" t="s">
        <v>273</v>
      </c>
    </row>
    <row r="40" spans="1:1">
      <c r="A40" s="14" t="s">
        <v>325</v>
      </c>
    </row>
    <row r="41" spans="1:1">
      <c r="A41" s="14" t="s">
        <v>326</v>
      </c>
    </row>
    <row r="42" spans="1:1">
      <c r="A42" s="14" t="s">
        <v>327</v>
      </c>
    </row>
    <row r="43" spans="1:1">
      <c r="A43" s="14" t="s">
        <v>328</v>
      </c>
    </row>
    <row r="44" spans="1:1">
      <c r="A44" s="14" t="s">
        <v>329</v>
      </c>
    </row>
    <row r="45" spans="1:1">
      <c r="A45" s="14" t="s">
        <v>330</v>
      </c>
    </row>
    <row r="46" spans="1:1">
      <c r="A46" s="14" t="s">
        <v>331</v>
      </c>
    </row>
    <row r="47" spans="1:1">
      <c r="A47" s="14" t="s">
        <v>332</v>
      </c>
    </row>
    <row r="48" spans="1:1">
      <c r="A48" s="14" t="s">
        <v>333</v>
      </c>
    </row>
    <row r="49" spans="1:1">
      <c r="A49" s="14" t="s">
        <v>334</v>
      </c>
    </row>
    <row r="50" spans="1:1">
      <c r="A50" s="14" t="s">
        <v>6</v>
      </c>
    </row>
    <row r="51" spans="1:1">
      <c r="A51" s="14" t="s">
        <v>274</v>
      </c>
    </row>
    <row r="52" spans="1:1">
      <c r="A52" s="14" t="s">
        <v>335</v>
      </c>
    </row>
    <row r="53" spans="1:1">
      <c r="A53" s="14" t="s">
        <v>336</v>
      </c>
    </row>
    <row r="54" spans="1:1">
      <c r="A54" s="14" t="s">
        <v>337</v>
      </c>
    </row>
    <row r="55" spans="1:1">
      <c r="A55" s="14" t="s">
        <v>338</v>
      </c>
    </row>
    <row r="56" spans="1:1">
      <c r="A56" s="14" t="s">
        <v>339</v>
      </c>
    </row>
    <row r="57" spans="1:1">
      <c r="A57" s="14" t="s">
        <v>340</v>
      </c>
    </row>
    <row r="58" spans="1:1">
      <c r="A58" s="14" t="s">
        <v>341</v>
      </c>
    </row>
    <row r="59" spans="1:1">
      <c r="A59" s="14" t="s">
        <v>342</v>
      </c>
    </row>
    <row r="60" spans="1:1">
      <c r="A60" s="14" t="s">
        <v>343</v>
      </c>
    </row>
    <row r="61" spans="1:1">
      <c r="A61" s="14" t="s">
        <v>344</v>
      </c>
    </row>
    <row r="62" spans="1:1">
      <c r="A62" s="14" t="s">
        <v>345</v>
      </c>
    </row>
    <row r="63" spans="1:1">
      <c r="A63" s="14" t="s">
        <v>346</v>
      </c>
    </row>
    <row r="64" spans="1:1">
      <c r="A64" s="14" t="s">
        <v>347</v>
      </c>
    </row>
    <row r="65" spans="1:1">
      <c r="A65" s="14" t="s">
        <v>348</v>
      </c>
    </row>
    <row r="66" spans="1:1">
      <c r="A66" s="14" t="s">
        <v>349</v>
      </c>
    </row>
    <row r="67" spans="1:1">
      <c r="A67" s="14" t="s">
        <v>350</v>
      </c>
    </row>
    <row r="68" spans="1:1">
      <c r="A68" s="14" t="s">
        <v>6</v>
      </c>
    </row>
    <row r="69" spans="1:1">
      <c r="A69" s="14" t="s">
        <v>275</v>
      </c>
    </row>
    <row r="70" spans="1:1">
      <c r="A70" s="14" t="s">
        <v>351</v>
      </c>
    </row>
    <row r="71" spans="1:1">
      <c r="A71" s="14" t="s">
        <v>352</v>
      </c>
    </row>
    <row r="72" spans="1:1">
      <c r="A72" s="14" t="s">
        <v>353</v>
      </c>
    </row>
    <row r="73" spans="1:1">
      <c r="A73" s="14" t="s">
        <v>354</v>
      </c>
    </row>
    <row r="74" spans="1:1">
      <c r="A74" s="14" t="s">
        <v>355</v>
      </c>
    </row>
    <row r="75" spans="1:1">
      <c r="A75" s="14" t="s">
        <v>356</v>
      </c>
    </row>
    <row r="76" spans="1:1">
      <c r="A76" s="14" t="s">
        <v>357</v>
      </c>
    </row>
    <row r="77" spans="1:1">
      <c r="A77" s="14" t="s">
        <v>358</v>
      </c>
    </row>
    <row r="78" spans="1:1">
      <c r="A78" s="14" t="s">
        <v>359</v>
      </c>
    </row>
    <row r="79" spans="1:1">
      <c r="A79" s="14" t="s">
        <v>360</v>
      </c>
    </row>
    <row r="80" spans="1:1">
      <c r="A80" s="14" t="s">
        <v>361</v>
      </c>
    </row>
    <row r="81" spans="1:1">
      <c r="A81" s="14" t="s">
        <v>362</v>
      </c>
    </row>
    <row r="82" spans="1:1">
      <c r="A82" s="14" t="s">
        <v>363</v>
      </c>
    </row>
    <row r="83" spans="1:1">
      <c r="A83" s="14" t="s">
        <v>6</v>
      </c>
    </row>
    <row r="84" spans="1:1">
      <c r="A84" s="14" t="s">
        <v>276</v>
      </c>
    </row>
    <row r="85" spans="1:1">
      <c r="A85" s="14" t="s">
        <v>364</v>
      </c>
    </row>
    <row r="86" spans="1:1">
      <c r="A86" s="14" t="s">
        <v>365</v>
      </c>
    </row>
    <row r="87" spans="1:1">
      <c r="A87" s="14" t="s">
        <v>366</v>
      </c>
    </row>
    <row r="88" spans="1:1">
      <c r="A88" s="14" t="s">
        <v>367</v>
      </c>
    </row>
    <row r="89" spans="1:1">
      <c r="A89" s="14" t="s">
        <v>368</v>
      </c>
    </row>
    <row r="90" spans="1:1">
      <c r="A90" s="14" t="s">
        <v>369</v>
      </c>
    </row>
    <row r="91" spans="1:1">
      <c r="A91" s="14" t="s">
        <v>370</v>
      </c>
    </row>
    <row r="92" spans="1:1">
      <c r="A92" s="14" t="s">
        <v>371</v>
      </c>
    </row>
    <row r="93" spans="1:1">
      <c r="A93" s="14" t="s">
        <v>372</v>
      </c>
    </row>
    <row r="94" spans="1:1">
      <c r="A94" s="14" t="s">
        <v>373</v>
      </c>
    </row>
    <row r="95" spans="1:1">
      <c r="A95" s="14" t="s">
        <v>374</v>
      </c>
    </row>
    <row r="96" spans="1:1">
      <c r="A96" s="14" t="s">
        <v>375</v>
      </c>
    </row>
    <row r="97" spans="1:1">
      <c r="A97" s="14" t="s">
        <v>376</v>
      </c>
    </row>
    <row r="98" spans="1:1">
      <c r="A98" s="14" t="s">
        <v>377</v>
      </c>
    </row>
    <row r="99" spans="1:1">
      <c r="A99" s="14" t="s">
        <v>378</v>
      </c>
    </row>
    <row r="100" spans="1:1">
      <c r="A100" s="14" t="s">
        <v>379</v>
      </c>
    </row>
    <row r="101" spans="1:1">
      <c r="A101" s="14" t="s">
        <v>380</v>
      </c>
    </row>
    <row r="102" spans="1:1">
      <c r="A102" s="14" t="s">
        <v>6</v>
      </c>
    </row>
    <row r="103" spans="1:1">
      <c r="A103" s="14" t="s">
        <v>277</v>
      </c>
    </row>
    <row r="104" spans="1:1">
      <c r="A104" s="14" t="s">
        <v>381</v>
      </c>
    </row>
    <row r="105" spans="1:1">
      <c r="A105" s="14" t="s">
        <v>382</v>
      </c>
    </row>
    <row r="106" spans="1:1">
      <c r="A106" s="14" t="s">
        <v>383</v>
      </c>
    </row>
    <row r="107" spans="1:1">
      <c r="A107" s="14" t="s">
        <v>384</v>
      </c>
    </row>
    <row r="108" spans="1:1">
      <c r="A108" s="14" t="s">
        <v>385</v>
      </c>
    </row>
    <row r="109" spans="1:1">
      <c r="A109" s="14" t="s">
        <v>386</v>
      </c>
    </row>
    <row r="110" spans="1:1">
      <c r="A110" s="14" t="s">
        <v>387</v>
      </c>
    </row>
    <row r="111" spans="1:1">
      <c r="A111" s="14" t="s">
        <v>388</v>
      </c>
    </row>
    <row r="112" spans="1:1">
      <c r="A112" s="14" t="s">
        <v>389</v>
      </c>
    </row>
    <row r="113" spans="1:1">
      <c r="A113" s="14" t="s">
        <v>390</v>
      </c>
    </row>
    <row r="114" spans="1:1">
      <c r="A114" s="14" t="s">
        <v>391</v>
      </c>
    </row>
    <row r="115" spans="1:1">
      <c r="A115" s="14" t="s">
        <v>67</v>
      </c>
    </row>
    <row r="116" spans="1:1">
      <c r="A116" s="15"/>
    </row>
    <row r="117" spans="1:1">
      <c r="A117" s="14" t="s">
        <v>62</v>
      </c>
    </row>
    <row r="118" spans="1:1">
      <c r="A118" s="15"/>
    </row>
    <row r="119" spans="1:1">
      <c r="A119" s="14" t="s">
        <v>392</v>
      </c>
    </row>
    <row r="120" spans="1:1">
      <c r="A120" s="15"/>
    </row>
    <row r="121" spans="1:1">
      <c r="A121" s="14" t="s">
        <v>393</v>
      </c>
    </row>
    <row r="122" spans="1:1">
      <c r="A122" s="15"/>
    </row>
    <row r="123" spans="1:1">
      <c r="A123" s="14" t="s">
        <v>394</v>
      </c>
    </row>
    <row r="124" spans="1:1">
      <c r="A124" s="14"/>
    </row>
    <row r="125" spans="1:1">
      <c r="A125" s="14" t="s">
        <v>395</v>
      </c>
    </row>
    <row r="126" spans="1:1">
      <c r="A126" s="14" t="s">
        <v>396</v>
      </c>
    </row>
    <row r="127" spans="1:1">
      <c r="A127" s="14" t="s">
        <v>397</v>
      </c>
    </row>
    <row r="128" spans="1:1">
      <c r="A128" s="14" t="s">
        <v>398</v>
      </c>
    </row>
    <row r="129" spans="1:1">
      <c r="A129" s="14" t="s">
        <v>399</v>
      </c>
    </row>
    <row r="130" spans="1:1">
      <c r="A130" s="14" t="s">
        <v>400</v>
      </c>
    </row>
    <row r="131" spans="1:1">
      <c r="A131" s="14" t="s">
        <v>401</v>
      </c>
    </row>
    <row r="132" spans="1:1">
      <c r="A132" s="15" t="s">
        <v>402</v>
      </c>
    </row>
    <row r="133" spans="1:1">
      <c r="A133" s="14"/>
    </row>
    <row r="134" spans="1:1">
      <c r="A134" s="15" t="s">
        <v>62</v>
      </c>
    </row>
    <row r="135" spans="1:1">
      <c r="A135" s="14"/>
    </row>
    <row r="136" spans="1:1">
      <c r="A136" s="15" t="s">
        <v>403</v>
      </c>
    </row>
    <row r="137" spans="1:1">
      <c r="A137" s="14"/>
    </row>
    <row r="138" spans="1:1">
      <c r="A138" s="14" t="s">
        <v>404</v>
      </c>
    </row>
    <row r="139" spans="1:1">
      <c r="A139" s="14"/>
    </row>
    <row r="140" spans="1:1">
      <c r="A140" s="14" t="s">
        <v>405</v>
      </c>
    </row>
    <row r="141" spans="1:1">
      <c r="A141" s="14" t="s">
        <v>396</v>
      </c>
    </row>
    <row r="142" spans="1:1">
      <c r="A142" s="14" t="s">
        <v>406</v>
      </c>
    </row>
    <row r="143" spans="1:1">
      <c r="A143" s="14" t="s">
        <v>407</v>
      </c>
    </row>
    <row r="144" spans="1:1">
      <c r="A144" s="14" t="s">
        <v>408</v>
      </c>
    </row>
    <row r="145" spans="1:1">
      <c r="A145" s="14" t="s">
        <v>409</v>
      </c>
    </row>
    <row r="146" spans="1:1">
      <c r="A146" s="14" t="s">
        <v>410</v>
      </c>
    </row>
    <row r="147" spans="1:1">
      <c r="A147" s="14" t="s">
        <v>411</v>
      </c>
    </row>
    <row r="148" spans="1:1">
      <c r="A148" s="14" t="s">
        <v>412</v>
      </c>
    </row>
    <row r="149" spans="1:1">
      <c r="A149" s="14" t="s">
        <v>413</v>
      </c>
    </row>
    <row r="150" spans="1:1">
      <c r="A150" s="14" t="s">
        <v>414</v>
      </c>
    </row>
    <row r="151" spans="1:1">
      <c r="A151" s="14" t="s">
        <v>415</v>
      </c>
    </row>
    <row r="152" spans="1:1">
      <c r="A152" s="15" t="s">
        <v>416</v>
      </c>
    </row>
    <row r="153" spans="1:1">
      <c r="A153" s="14" t="s">
        <v>417</v>
      </c>
    </row>
    <row r="154" spans="1:1">
      <c r="A154" s="15" t="s">
        <v>418</v>
      </c>
    </row>
    <row r="155" spans="1:1">
      <c r="A155" s="14" t="s">
        <v>419</v>
      </c>
    </row>
    <row r="156" spans="1:1">
      <c r="A156" s="15" t="s">
        <v>420</v>
      </c>
    </row>
    <row r="157" spans="1:1">
      <c r="A157" s="14" t="s">
        <v>421</v>
      </c>
    </row>
    <row r="158" spans="1:1">
      <c r="A158" s="14" t="s">
        <v>422</v>
      </c>
    </row>
    <row r="159" spans="1:1">
      <c r="A159" s="14" t="s">
        <v>423</v>
      </c>
    </row>
    <row r="160" spans="1:1">
      <c r="A160" s="14"/>
    </row>
    <row r="161" spans="1:1">
      <c r="A161" s="14" t="s">
        <v>62</v>
      </c>
    </row>
    <row r="162" spans="1:1">
      <c r="A162" s="14"/>
    </row>
    <row r="163" spans="1:1">
      <c r="A163" s="14" t="s">
        <v>424</v>
      </c>
    </row>
    <row r="164" spans="1:1">
      <c r="A164" s="14"/>
    </row>
    <row r="165" spans="1:1">
      <c r="A165" s="14" t="s">
        <v>425</v>
      </c>
    </row>
    <row r="166" spans="1:1">
      <c r="A166" s="15"/>
    </row>
    <row r="167" spans="1:1">
      <c r="A167" s="14" t="s">
        <v>278</v>
      </c>
    </row>
    <row r="168" spans="1:1">
      <c r="A168" s="15" t="s">
        <v>279</v>
      </c>
    </row>
    <row r="169" spans="1:1">
      <c r="A169" s="14" t="s">
        <v>426</v>
      </c>
    </row>
    <row r="170" spans="1:1">
      <c r="A170" s="15" t="s">
        <v>283</v>
      </c>
    </row>
    <row r="171" spans="1:1">
      <c r="A171" s="14" t="s">
        <v>284</v>
      </c>
    </row>
    <row r="172" spans="1:1">
      <c r="A172" s="14" t="s">
        <v>285</v>
      </c>
    </row>
    <row r="173" spans="1:1">
      <c r="A173" s="14" t="s">
        <v>286</v>
      </c>
    </row>
    <row r="174" spans="1:1">
      <c r="A174" s="14" t="s">
        <v>287</v>
      </c>
    </row>
    <row r="175" spans="1:1">
      <c r="A175" s="14" t="s">
        <v>288</v>
      </c>
    </row>
    <row r="176" spans="1:1">
      <c r="A176" s="14"/>
    </row>
    <row r="177" spans="1:1">
      <c r="A177" s="14" t="s">
        <v>427</v>
      </c>
    </row>
    <row r="178" spans="1:1">
      <c r="A178" s="14"/>
    </row>
    <row r="179" spans="1:1">
      <c r="A179" s="14" t="s">
        <v>280</v>
      </c>
    </row>
    <row r="180" spans="1:1">
      <c r="A180" s="14" t="s">
        <v>281</v>
      </c>
    </row>
    <row r="181" spans="1:1">
      <c r="A181" s="15" t="s">
        <v>289</v>
      </c>
    </row>
    <row r="182" spans="1:1">
      <c r="A182" s="14" t="s">
        <v>290</v>
      </c>
    </row>
    <row r="183" spans="1:1">
      <c r="A183" s="14" t="s">
        <v>291</v>
      </c>
    </row>
    <row r="184" spans="1:1">
      <c r="A184" s="14" t="s">
        <v>292</v>
      </c>
    </row>
    <row r="185" spans="1:1">
      <c r="A185" s="14" t="s">
        <v>293</v>
      </c>
    </row>
    <row r="186" spans="1:1">
      <c r="A186" s="15" t="s">
        <v>294</v>
      </c>
    </row>
    <row r="187" spans="1:1">
      <c r="A187" s="14"/>
    </row>
    <row r="188" spans="1:1">
      <c r="A188" s="14" t="s">
        <v>62</v>
      </c>
    </row>
    <row r="189" spans="1:1">
      <c r="A189" s="14"/>
    </row>
    <row r="190" spans="1:1">
      <c r="A190" s="14" t="s">
        <v>428</v>
      </c>
    </row>
    <row r="191" spans="1:1">
      <c r="A191" s="14"/>
    </row>
    <row r="192" spans="1:1">
      <c r="A192" s="14" t="s">
        <v>429</v>
      </c>
    </row>
    <row r="193" spans="1:1">
      <c r="A193" s="14"/>
    </row>
    <row r="194" spans="1:1">
      <c r="A194" s="14" t="s">
        <v>405</v>
      </c>
    </row>
    <row r="195" spans="1:1">
      <c r="A195" s="14" t="s">
        <v>396</v>
      </c>
    </row>
    <row r="196" spans="1:1">
      <c r="A196" s="14" t="s">
        <v>430</v>
      </c>
    </row>
    <row r="197" spans="1:1">
      <c r="A197" s="14" t="s">
        <v>431</v>
      </c>
    </row>
    <row r="198" spans="1:1">
      <c r="A198" s="14" t="s">
        <v>432</v>
      </c>
    </row>
    <row r="199" spans="1:1">
      <c r="A199" s="14" t="s">
        <v>433</v>
      </c>
    </row>
    <row r="200" spans="1:1">
      <c r="A200" s="14" t="s">
        <v>434</v>
      </c>
    </row>
    <row r="201" spans="1:1">
      <c r="A201" s="14" t="s">
        <v>435</v>
      </c>
    </row>
    <row r="202" spans="1:1">
      <c r="A202" s="15" t="s">
        <v>436</v>
      </c>
    </row>
    <row r="203" spans="1:1">
      <c r="A203" s="14" t="s">
        <v>437</v>
      </c>
    </row>
    <row r="204" spans="1:1">
      <c r="A204" s="15" t="s">
        <v>438</v>
      </c>
    </row>
    <row r="205" spans="1:1">
      <c r="A205" s="14" t="s">
        <v>439</v>
      </c>
    </row>
    <row r="206" spans="1:1">
      <c r="A206" s="15"/>
    </row>
    <row r="207" spans="1:1">
      <c r="A207" s="14" t="s">
        <v>62</v>
      </c>
    </row>
    <row r="208" spans="1:1">
      <c r="A208" s="14"/>
    </row>
    <row r="209" spans="1:1">
      <c r="A209" s="14" t="s">
        <v>440</v>
      </c>
    </row>
    <row r="210" spans="1:1">
      <c r="A210" s="15"/>
    </row>
    <row r="211" spans="1:1">
      <c r="A211" s="14" t="s">
        <v>441</v>
      </c>
    </row>
    <row r="212" spans="1:1">
      <c r="A212" s="15"/>
    </row>
    <row r="213" spans="1:1">
      <c r="A213" s="14" t="s">
        <v>269</v>
      </c>
    </row>
    <row r="214" spans="1:1">
      <c r="A214" s="15" t="s">
        <v>282</v>
      </c>
    </row>
    <row r="215" spans="1:1">
      <c r="A215" s="14" t="s">
        <v>442</v>
      </c>
    </row>
    <row r="216" spans="1:1">
      <c r="A216" s="14" t="s">
        <v>443</v>
      </c>
    </row>
    <row r="217" spans="1:1">
      <c r="A217" s="14" t="s">
        <v>444</v>
      </c>
    </row>
    <row r="218" spans="1:1">
      <c r="A218" s="14" t="s">
        <v>445</v>
      </c>
    </row>
    <row r="219" spans="1:1">
      <c r="A219" s="14"/>
    </row>
    <row r="220" spans="1:1">
      <c r="A220" s="14" t="s">
        <v>446</v>
      </c>
    </row>
    <row r="221" spans="1:1">
      <c r="A221" s="14"/>
    </row>
    <row r="222" spans="1:1">
      <c r="A222" s="15" t="s">
        <v>405</v>
      </c>
    </row>
    <row r="223" spans="1:1">
      <c r="A223" s="14" t="s">
        <v>396</v>
      </c>
    </row>
    <row r="224" spans="1:1">
      <c r="A224" s="15" t="s">
        <v>447</v>
      </c>
    </row>
    <row r="225" spans="1:1">
      <c r="A225" s="14" t="s">
        <v>448</v>
      </c>
    </row>
    <row r="226" spans="1:1">
      <c r="A226" s="15" t="s">
        <v>449</v>
      </c>
    </row>
    <row r="227" spans="1:1">
      <c r="A227" s="14"/>
    </row>
    <row r="228" spans="1:1">
      <c r="A228" s="14" t="s">
        <v>450</v>
      </c>
    </row>
    <row r="229" spans="1:1">
      <c r="A229" s="14"/>
    </row>
    <row r="230" spans="1:1">
      <c r="A230" s="14" t="s">
        <v>405</v>
      </c>
    </row>
    <row r="231" spans="1:1">
      <c r="A231" s="14" t="s">
        <v>396</v>
      </c>
    </row>
    <row r="232" spans="1:1">
      <c r="A232" s="14" t="s">
        <v>451</v>
      </c>
    </row>
    <row r="233" spans="1:1">
      <c r="A233" s="14" t="s">
        <v>452</v>
      </c>
    </row>
    <row r="234" spans="1:1">
      <c r="A234" s="14" t="s">
        <v>453</v>
      </c>
    </row>
    <row r="235" spans="1:1">
      <c r="A235" s="15" t="s">
        <v>454</v>
      </c>
    </row>
    <row r="236" spans="1:1">
      <c r="A236" s="14" t="s">
        <v>455</v>
      </c>
    </row>
    <row r="237" spans="1:1">
      <c r="A237" s="14" t="s">
        <v>456</v>
      </c>
    </row>
    <row r="238" spans="1:1">
      <c r="A238" s="14"/>
    </row>
    <row r="239" spans="1:1">
      <c r="A239" s="14" t="s">
        <v>457</v>
      </c>
    </row>
    <row r="240" spans="1:1">
      <c r="A240" s="14" t="s">
        <v>67</v>
      </c>
    </row>
    <row r="241" spans="1:1">
      <c r="A241" s="14" t="s">
        <v>458</v>
      </c>
    </row>
    <row r="242" spans="1:1">
      <c r="A242" s="14" t="s">
        <v>459</v>
      </c>
    </row>
    <row r="243" spans="1:1">
      <c r="A243" s="14" t="s">
        <v>67</v>
      </c>
    </row>
    <row r="244" spans="1:1">
      <c r="A244" s="15"/>
    </row>
    <row r="245" spans="1:1">
      <c r="A245" s="14" t="s">
        <v>62</v>
      </c>
    </row>
    <row r="246" spans="1:1">
      <c r="A246" s="14"/>
    </row>
    <row r="247" spans="1:1">
      <c r="A247" s="14" t="s">
        <v>460</v>
      </c>
    </row>
    <row r="248" spans="1:1">
      <c r="A248" s="14"/>
    </row>
    <row r="249" spans="1:1">
      <c r="A249" s="14" t="s">
        <v>461</v>
      </c>
    </row>
    <row r="250" spans="1:1">
      <c r="A250" s="14"/>
    </row>
    <row r="251" spans="1:1">
      <c r="A251" s="14" t="s">
        <v>405</v>
      </c>
    </row>
    <row r="252" spans="1:1">
      <c r="A252" s="14" t="s">
        <v>396</v>
      </c>
    </row>
    <row r="253" spans="1:1">
      <c r="A253" t="s">
        <v>462</v>
      </c>
    </row>
    <row r="254" spans="1:1">
      <c r="A254" t="s">
        <v>463</v>
      </c>
    </row>
    <row r="255" spans="1:1">
      <c r="A255" t="s">
        <v>464</v>
      </c>
    </row>
    <row r="256" spans="1:1">
      <c r="A256" t="s">
        <v>465</v>
      </c>
    </row>
    <row r="257" spans="1:1">
      <c r="A257" t="s">
        <v>466</v>
      </c>
    </row>
    <row r="258" spans="1:1">
      <c r="A258" t="s">
        <v>467</v>
      </c>
    </row>
    <row r="259" spans="1:1">
      <c r="A259" t="s">
        <v>468</v>
      </c>
    </row>
    <row r="260" spans="1:1">
      <c r="A260" t="s">
        <v>469</v>
      </c>
    </row>
    <row r="261" spans="1:1">
      <c r="A261" t="s">
        <v>470</v>
      </c>
    </row>
    <row r="262" spans="1:1">
      <c r="A262" t="s">
        <v>471</v>
      </c>
    </row>
    <row r="263" spans="1:1">
      <c r="A263" t="s">
        <v>472</v>
      </c>
    </row>
    <row r="264" spans="1:1">
      <c r="A264" t="s">
        <v>473</v>
      </c>
    </row>
    <row r="265" spans="1:1">
      <c r="A265" t="s">
        <v>474</v>
      </c>
    </row>
    <row r="267" spans="1:1">
      <c r="A267" t="s">
        <v>62</v>
      </c>
    </row>
    <row r="269" spans="1:1">
      <c r="A269" t="s">
        <v>475</v>
      </c>
    </row>
    <row r="271" spans="1:1">
      <c r="A271" t="s">
        <v>476</v>
      </c>
    </row>
    <row r="273" spans="1:1">
      <c r="A273" t="s">
        <v>405</v>
      </c>
    </row>
    <row r="274" spans="1:1">
      <c r="A274" t="s">
        <v>396</v>
      </c>
    </row>
    <row r="275" spans="1:1">
      <c r="A275" t="s">
        <v>477</v>
      </c>
    </row>
    <row r="276" spans="1:1">
      <c r="A276" t="s">
        <v>478</v>
      </c>
    </row>
    <row r="277" spans="1:1">
      <c r="A277" t="s">
        <v>479</v>
      </c>
    </row>
    <row r="278" spans="1:1">
      <c r="A278" t="s">
        <v>480</v>
      </c>
    </row>
    <row r="279" spans="1:1">
      <c r="A279" t="s">
        <v>481</v>
      </c>
    </row>
    <row r="280" spans="1:1">
      <c r="A280" t="s">
        <v>482</v>
      </c>
    </row>
    <row r="281" spans="1:1">
      <c r="A281" t="s">
        <v>483</v>
      </c>
    </row>
    <row r="283" spans="1:1">
      <c r="A283" t="s">
        <v>484</v>
      </c>
    </row>
    <row r="285" spans="1:1">
      <c r="A285" t="s">
        <v>405</v>
      </c>
    </row>
    <row r="286" spans="1:1">
      <c r="A286" t="s">
        <v>396</v>
      </c>
    </row>
    <row r="287" spans="1:1">
      <c r="A287" t="s">
        <v>485</v>
      </c>
    </row>
    <row r="288" spans="1:1">
      <c r="A288" t="s">
        <v>486</v>
      </c>
    </row>
    <row r="290" spans="1:1">
      <c r="A290" t="s">
        <v>487</v>
      </c>
    </row>
    <row r="292" spans="1:1">
      <c r="A292" t="s">
        <v>405</v>
      </c>
    </row>
    <row r="293" spans="1:1">
      <c r="A293" t="s">
        <v>396</v>
      </c>
    </row>
    <row r="294" spans="1:1">
      <c r="A294" t="s">
        <v>488</v>
      </c>
    </row>
    <row r="295" spans="1:1">
      <c r="A295" t="s">
        <v>489</v>
      </c>
    </row>
    <row r="296" spans="1:1">
      <c r="A296" t="s">
        <v>490</v>
      </c>
    </row>
    <row r="297" spans="1:1">
      <c r="A297" t="s">
        <v>491</v>
      </c>
    </row>
    <row r="298" spans="1:1">
      <c r="A298" t="s">
        <v>492</v>
      </c>
    </row>
    <row r="299" spans="1:1">
      <c r="A299" t="s">
        <v>493</v>
      </c>
    </row>
    <row r="300" spans="1:1">
      <c r="A300" t="s">
        <v>494</v>
      </c>
    </row>
    <row r="301" spans="1:1">
      <c r="A301" t="s">
        <v>495</v>
      </c>
    </row>
    <row r="303" spans="1:1">
      <c r="A303" t="s">
        <v>62</v>
      </c>
    </row>
    <row r="305" spans="1:1">
      <c r="A305" t="s">
        <v>496</v>
      </c>
    </row>
    <row r="307" spans="1:1">
      <c r="A307" t="s">
        <v>497</v>
      </c>
    </row>
    <row r="309" spans="1:1">
      <c r="A309" t="s">
        <v>405</v>
      </c>
    </row>
    <row r="310" spans="1:1">
      <c r="A310" t="s">
        <v>396</v>
      </c>
    </row>
    <row r="311" spans="1:1">
      <c r="A311" t="s">
        <v>498</v>
      </c>
    </row>
    <row r="312" spans="1:1">
      <c r="A312" t="s">
        <v>499</v>
      </c>
    </row>
    <row r="313" spans="1:1">
      <c r="A313" t="s">
        <v>500</v>
      </c>
    </row>
    <row r="314" spans="1:1">
      <c r="A314" t="s">
        <v>501</v>
      </c>
    </row>
    <row r="315" spans="1:1">
      <c r="A315" t="s">
        <v>502</v>
      </c>
    </row>
    <row r="316" spans="1:1">
      <c r="A316" t="s">
        <v>503</v>
      </c>
    </row>
    <row r="317" spans="1:1">
      <c r="A317" t="s">
        <v>504</v>
      </c>
    </row>
    <row r="318" spans="1:1">
      <c r="A318" t="s">
        <v>505</v>
      </c>
    </row>
    <row r="319" spans="1:1">
      <c r="A319" t="s">
        <v>506</v>
      </c>
    </row>
    <row r="320" spans="1:1">
      <c r="A320" t="s">
        <v>507</v>
      </c>
    </row>
    <row r="321" spans="1:1">
      <c r="A321" t="s">
        <v>508</v>
      </c>
    </row>
    <row r="323" spans="1:1">
      <c r="A323" t="s">
        <v>62</v>
      </c>
    </row>
    <row r="325" spans="1:1">
      <c r="A325" t="s">
        <v>509</v>
      </c>
    </row>
    <row r="327" spans="1:1">
      <c r="A327" t="s">
        <v>510</v>
      </c>
    </row>
    <row r="329" spans="1:1">
      <c r="A329" t="s">
        <v>511</v>
      </c>
    </row>
    <row r="330" spans="1:1">
      <c r="A330" t="s">
        <v>512</v>
      </c>
    </row>
    <row r="331" spans="1:1">
      <c r="A331" t="s">
        <v>513</v>
      </c>
    </row>
    <row r="332" spans="1:1">
      <c r="A332" t="s">
        <v>514</v>
      </c>
    </row>
    <row r="333" spans="1:1">
      <c r="A333" t="s">
        <v>515</v>
      </c>
    </row>
    <row r="335" spans="1:1">
      <c r="A335" t="s">
        <v>62</v>
      </c>
    </row>
    <row r="337" spans="1:1">
      <c r="A337" t="s">
        <v>516</v>
      </c>
    </row>
    <row r="339" spans="1:1">
      <c r="A339" t="s">
        <v>67</v>
      </c>
    </row>
    <row r="340" spans="1:1">
      <c r="A340" t="s">
        <v>517</v>
      </c>
    </row>
    <row r="341" spans="1:1">
      <c r="A341" t="s">
        <v>518</v>
      </c>
    </row>
    <row r="342" spans="1:1">
      <c r="A342" t="s">
        <v>519</v>
      </c>
    </row>
    <row r="343" spans="1:1">
      <c r="A343" t="s">
        <v>520</v>
      </c>
    </row>
    <row r="344" spans="1:1">
      <c r="A344" t="s">
        <v>521</v>
      </c>
    </row>
    <row r="345" spans="1:1">
      <c r="A345" t="s">
        <v>522</v>
      </c>
    </row>
    <row r="346" spans="1:1">
      <c r="A346" t="s">
        <v>523</v>
      </c>
    </row>
    <row r="347" spans="1:1">
      <c r="A347" t="s">
        <v>524</v>
      </c>
    </row>
    <row r="348" spans="1:1">
      <c r="A348" t="s">
        <v>525</v>
      </c>
    </row>
    <row r="349" spans="1:1">
      <c r="A349" t="s">
        <v>526</v>
      </c>
    </row>
    <row r="350" spans="1:1">
      <c r="A350" t="s">
        <v>527</v>
      </c>
    </row>
    <row r="351" spans="1:1">
      <c r="A351" t="s">
        <v>528</v>
      </c>
    </row>
    <row r="352" spans="1:1">
      <c r="A352" t="s">
        <v>529</v>
      </c>
    </row>
    <row r="353" spans="1:1">
      <c r="A353" t="s">
        <v>530</v>
      </c>
    </row>
    <row r="354" spans="1:1">
      <c r="A354" t="s">
        <v>531</v>
      </c>
    </row>
    <row r="355" spans="1:1">
      <c r="A355" t="s">
        <v>532</v>
      </c>
    </row>
    <row r="356" spans="1:1">
      <c r="A356" t="s">
        <v>533</v>
      </c>
    </row>
    <row r="357" spans="1:1">
      <c r="A357" t="s">
        <v>534</v>
      </c>
    </row>
    <row r="358" spans="1:1">
      <c r="A358" t="s">
        <v>535</v>
      </c>
    </row>
    <row r="359" spans="1:1">
      <c r="A359" t="s">
        <v>536</v>
      </c>
    </row>
    <row r="360" spans="1:1">
      <c r="A360" t="s">
        <v>537</v>
      </c>
    </row>
    <row r="361" spans="1:1">
      <c r="A361" t="s">
        <v>538</v>
      </c>
    </row>
    <row r="362" spans="1:1">
      <c r="A362" t="s">
        <v>539</v>
      </c>
    </row>
    <row r="363" spans="1:1">
      <c r="A363" t="s">
        <v>540</v>
      </c>
    </row>
    <row r="364" spans="1:1">
      <c r="A364" t="s">
        <v>541</v>
      </c>
    </row>
    <row r="365" spans="1:1">
      <c r="A365" t="s">
        <v>542</v>
      </c>
    </row>
    <row r="366" spans="1:1">
      <c r="A366" t="s">
        <v>543</v>
      </c>
    </row>
    <row r="367" spans="1:1">
      <c r="A367" t="s">
        <v>544</v>
      </c>
    </row>
    <row r="368" spans="1:1">
      <c r="A368" t="s">
        <v>545</v>
      </c>
    </row>
    <row r="369" spans="1:1">
      <c r="A369" t="s">
        <v>546</v>
      </c>
    </row>
    <row r="370" spans="1:1">
      <c r="A370" t="s">
        <v>547</v>
      </c>
    </row>
    <row r="371" spans="1:1">
      <c r="A371" t="s">
        <v>548</v>
      </c>
    </row>
    <row r="372" spans="1:1">
      <c r="A372" t="s">
        <v>549</v>
      </c>
    </row>
    <row r="373" spans="1:1">
      <c r="A373" t="s">
        <v>550</v>
      </c>
    </row>
    <row r="374" spans="1:1">
      <c r="A374" t="s">
        <v>551</v>
      </c>
    </row>
    <row r="375" spans="1:1">
      <c r="A375" t="s">
        <v>552</v>
      </c>
    </row>
    <row r="376" spans="1:1">
      <c r="A376" t="s">
        <v>553</v>
      </c>
    </row>
    <row r="377" spans="1:1">
      <c r="A377" t="s">
        <v>554</v>
      </c>
    </row>
    <row r="378" spans="1:1">
      <c r="A378" t="s">
        <v>517</v>
      </c>
    </row>
    <row r="379" spans="1:1">
      <c r="A379" t="s">
        <v>555</v>
      </c>
    </row>
    <row r="380" spans="1:1">
      <c r="A380" t="s">
        <v>556</v>
      </c>
    </row>
    <row r="381" spans="1:1">
      <c r="A381" t="s">
        <v>520</v>
      </c>
    </row>
    <row r="382" spans="1:1">
      <c r="A382" t="s">
        <v>557</v>
      </c>
    </row>
    <row r="383" spans="1:1">
      <c r="A383" t="s">
        <v>558</v>
      </c>
    </row>
    <row r="384" spans="1:1">
      <c r="A384" t="s">
        <v>559</v>
      </c>
    </row>
    <row r="385" spans="1:1">
      <c r="A385" t="s">
        <v>560</v>
      </c>
    </row>
    <row r="386" spans="1:1">
      <c r="A386" t="s">
        <v>561</v>
      </c>
    </row>
    <row r="387" spans="1:1">
      <c r="A387" t="s">
        <v>562</v>
      </c>
    </row>
    <row r="388" spans="1:1">
      <c r="A388" t="s">
        <v>563</v>
      </c>
    </row>
    <row r="389" spans="1:1">
      <c r="A389" t="s">
        <v>527</v>
      </c>
    </row>
    <row r="390" spans="1:1">
      <c r="A390" t="s">
        <v>67</v>
      </c>
    </row>
    <row r="392" spans="1:1">
      <c r="A392" t="s">
        <v>62</v>
      </c>
    </row>
    <row r="394" spans="1:1">
      <c r="A394" t="s">
        <v>564</v>
      </c>
    </row>
    <row r="396" spans="1:1">
      <c r="A396" t="s">
        <v>565</v>
      </c>
    </row>
    <row r="397" spans="1:1">
      <c r="A397" t="s">
        <v>282</v>
      </c>
    </row>
    <row r="398" spans="1:1">
      <c r="A398" t="s">
        <v>566</v>
      </c>
    </row>
    <row r="399" spans="1:1">
      <c r="A399" t="s">
        <v>567</v>
      </c>
    </row>
    <row r="400" spans="1:1">
      <c r="A400" t="s">
        <v>568</v>
      </c>
    </row>
    <row r="401" spans="1:1">
      <c r="A401" t="s">
        <v>569</v>
      </c>
    </row>
    <row r="402" spans="1:1">
      <c r="A402" t="s">
        <v>570</v>
      </c>
    </row>
    <row r="403" spans="1:1">
      <c r="A403" t="s">
        <v>571</v>
      </c>
    </row>
    <row r="404" spans="1:1">
      <c r="A404" t="s">
        <v>572</v>
      </c>
    </row>
    <row r="405" spans="1:1">
      <c r="A405" t="s">
        <v>573</v>
      </c>
    </row>
    <row r="406" spans="1:1">
      <c r="A406" t="s">
        <v>574</v>
      </c>
    </row>
    <row r="407" spans="1:1">
      <c r="A407" t="s">
        <v>575</v>
      </c>
    </row>
    <row r="408" spans="1:1">
      <c r="A408" t="s">
        <v>576</v>
      </c>
    </row>
    <row r="409" spans="1:1">
      <c r="A409" t="s">
        <v>577</v>
      </c>
    </row>
    <row r="411" spans="1:1">
      <c r="A411" t="s">
        <v>578</v>
      </c>
    </row>
    <row r="412" spans="1:1">
      <c r="A412" t="s">
        <v>579</v>
      </c>
    </row>
    <row r="414" spans="1:1">
      <c r="A414" t="s">
        <v>62</v>
      </c>
    </row>
    <row r="416" spans="1:1">
      <c r="A416" t="s">
        <v>580</v>
      </c>
    </row>
    <row r="418" spans="1:1">
      <c r="A418" t="s">
        <v>581</v>
      </c>
    </row>
    <row r="419" spans="1:1">
      <c r="A419" t="s">
        <v>582</v>
      </c>
    </row>
    <row r="420" spans="1:1">
      <c r="A420" t="s">
        <v>583</v>
      </c>
    </row>
    <row r="421" spans="1:1">
      <c r="A421" t="s">
        <v>584</v>
      </c>
    </row>
    <row r="422" spans="1:1">
      <c r="A422" t="s">
        <v>585</v>
      </c>
    </row>
    <row r="423" spans="1:1">
      <c r="A423" t="s">
        <v>586</v>
      </c>
    </row>
    <row r="424" spans="1:1">
      <c r="A424" t="s">
        <v>587</v>
      </c>
    </row>
    <row r="425" spans="1:1">
      <c r="A425" t="s">
        <v>588</v>
      </c>
    </row>
    <row r="426" spans="1:1">
      <c r="A426" t="s">
        <v>589</v>
      </c>
    </row>
    <row r="427" spans="1:1">
      <c r="A427" t="s">
        <v>590</v>
      </c>
    </row>
    <row r="428" spans="1:1">
      <c r="A428" t="s">
        <v>591</v>
      </c>
    </row>
    <row r="429" spans="1:1">
      <c r="A429" t="s">
        <v>592</v>
      </c>
    </row>
    <row r="430" spans="1:1">
      <c r="A430" t="s">
        <v>593</v>
      </c>
    </row>
    <row r="431" spans="1:1">
      <c r="A431" t="s">
        <v>594</v>
      </c>
    </row>
    <row r="432" spans="1:1">
      <c r="A432" t="s">
        <v>595</v>
      </c>
    </row>
    <row r="433" spans="1:1">
      <c r="A433" t="s">
        <v>596</v>
      </c>
    </row>
    <row r="434" spans="1:1">
      <c r="A434" t="s">
        <v>597</v>
      </c>
    </row>
    <row r="435" spans="1:1">
      <c r="A435" t="s">
        <v>598</v>
      </c>
    </row>
    <row r="436" spans="1:1">
      <c r="A436" t="s">
        <v>599</v>
      </c>
    </row>
    <row r="437" spans="1:1">
      <c r="A437" t="s">
        <v>600</v>
      </c>
    </row>
    <row r="438" spans="1:1">
      <c r="A438" t="s">
        <v>601</v>
      </c>
    </row>
    <row r="439" spans="1:1">
      <c r="A439" t="s">
        <v>602</v>
      </c>
    </row>
    <row r="440" spans="1:1">
      <c r="A440" t="s">
        <v>603</v>
      </c>
    </row>
    <row r="441" spans="1:1">
      <c r="A441" t="s">
        <v>604</v>
      </c>
    </row>
    <row r="442" spans="1:1">
      <c r="A442" t="s">
        <v>605</v>
      </c>
    </row>
    <row r="443" spans="1:1">
      <c r="A443" t="s">
        <v>606</v>
      </c>
    </row>
    <row r="444" spans="1:1">
      <c r="A444" t="s">
        <v>607</v>
      </c>
    </row>
    <row r="445" spans="1:1">
      <c r="A445" t="s">
        <v>608</v>
      </c>
    </row>
    <row r="447" spans="1:1">
      <c r="A447" t="s">
        <v>609</v>
      </c>
    </row>
    <row r="448" spans="1:1">
      <c r="A448" t="s">
        <v>610</v>
      </c>
    </row>
    <row r="449" spans="1:1">
      <c r="A449" t="s">
        <v>611</v>
      </c>
    </row>
    <row r="450" spans="1:1">
      <c r="A450" t="s">
        <v>612</v>
      </c>
    </row>
    <row r="451" spans="1:1">
      <c r="A451" t="s">
        <v>613</v>
      </c>
    </row>
    <row r="452" spans="1:1">
      <c r="A452" t="s">
        <v>608</v>
      </c>
    </row>
    <row r="453" spans="1:1">
      <c r="A453" t="s">
        <v>614</v>
      </c>
    </row>
    <row r="454" spans="1:1">
      <c r="A454" t="s">
        <v>615</v>
      </c>
    </row>
    <row r="455" spans="1:1">
      <c r="A455" t="s">
        <v>616</v>
      </c>
    </row>
    <row r="456" spans="1:1">
      <c r="A456" t="s">
        <v>617</v>
      </c>
    </row>
    <row r="457" spans="1:1">
      <c r="A457" t="s">
        <v>618</v>
      </c>
    </row>
    <row r="459" spans="1:1">
      <c r="A459" t="s">
        <v>619</v>
      </c>
    </row>
    <row r="460" spans="1:1">
      <c r="A460" t="s">
        <v>620</v>
      </c>
    </row>
    <row r="461" spans="1:1">
      <c r="A461" t="s">
        <v>621</v>
      </c>
    </row>
    <row r="462" spans="1:1">
      <c r="A462" t="s">
        <v>622</v>
      </c>
    </row>
    <row r="463" spans="1:1">
      <c r="A463" t="s">
        <v>623</v>
      </c>
    </row>
    <row r="464" spans="1:1">
      <c r="A464" t="s">
        <v>624</v>
      </c>
    </row>
    <row r="465" spans="1:1">
      <c r="A465" t="s">
        <v>621</v>
      </c>
    </row>
    <row r="466" spans="1:1">
      <c r="A466" t="s">
        <v>625</v>
      </c>
    </row>
    <row r="467" spans="1:1">
      <c r="A467" t="s">
        <v>626</v>
      </c>
    </row>
    <row r="468" spans="1:1">
      <c r="A468" t="s">
        <v>627</v>
      </c>
    </row>
    <row r="469" spans="1:1">
      <c r="A469" t="s">
        <v>628</v>
      </c>
    </row>
    <row r="470" spans="1:1">
      <c r="A470" t="s">
        <v>629</v>
      </c>
    </row>
    <row r="471" spans="1:1">
      <c r="A471" t="s">
        <v>630</v>
      </c>
    </row>
    <row r="472" spans="1:1">
      <c r="A472" t="s">
        <v>631</v>
      </c>
    </row>
    <row r="473" spans="1:1">
      <c r="A473" t="s">
        <v>632</v>
      </c>
    </row>
    <row r="474" spans="1:1">
      <c r="A474" t="s">
        <v>633</v>
      </c>
    </row>
    <row r="475" spans="1:1">
      <c r="A475" t="s">
        <v>634</v>
      </c>
    </row>
    <row r="477" spans="1:1">
      <c r="A477" t="s">
        <v>635</v>
      </c>
    </row>
    <row r="478" spans="1:1">
      <c r="A478" t="s">
        <v>636</v>
      </c>
    </row>
    <row r="479" spans="1:1">
      <c r="A479" t="s">
        <v>637</v>
      </c>
    </row>
    <row r="480" spans="1:1">
      <c r="A480" t="s">
        <v>638</v>
      </c>
    </row>
    <row r="481" spans="1:1">
      <c r="A481" t="s">
        <v>639</v>
      </c>
    </row>
    <row r="482" spans="1:1">
      <c r="A482" t="s">
        <v>640</v>
      </c>
    </row>
    <row r="483" spans="1:1">
      <c r="A483" t="s">
        <v>641</v>
      </c>
    </row>
    <row r="484" spans="1:1">
      <c r="A484" t="s">
        <v>642</v>
      </c>
    </row>
    <row r="485" spans="1:1">
      <c r="A485" t="s">
        <v>643</v>
      </c>
    </row>
    <row r="486" spans="1:1">
      <c r="A486" t="s">
        <v>644</v>
      </c>
    </row>
    <row r="487" spans="1:1">
      <c r="A487" t="s">
        <v>645</v>
      </c>
    </row>
    <row r="488" spans="1:1">
      <c r="A488" t="s">
        <v>646</v>
      </c>
    </row>
    <row r="489" spans="1:1">
      <c r="A489" t="s">
        <v>647</v>
      </c>
    </row>
    <row r="490" spans="1:1">
      <c r="A490" t="s">
        <v>648</v>
      </c>
    </row>
    <row r="492" spans="1:1">
      <c r="A492" t="s">
        <v>649</v>
      </c>
    </row>
    <row r="493" spans="1:1">
      <c r="A493" t="s">
        <v>650</v>
      </c>
    </row>
    <row r="494" spans="1:1">
      <c r="A494" t="s">
        <v>651</v>
      </c>
    </row>
    <row r="495" spans="1:1">
      <c r="A495" t="s">
        <v>652</v>
      </c>
    </row>
    <row r="496" spans="1:1">
      <c r="A496" t="s">
        <v>653</v>
      </c>
    </row>
    <row r="497" spans="1:1">
      <c r="A497" t="s">
        <v>654</v>
      </c>
    </row>
    <row r="498" spans="1:1">
      <c r="A498" t="s">
        <v>655</v>
      </c>
    </row>
    <row r="499" spans="1:1">
      <c r="A499" t="s">
        <v>656</v>
      </c>
    </row>
    <row r="500" spans="1:1">
      <c r="A500" t="s">
        <v>657</v>
      </c>
    </row>
    <row r="501" spans="1:1">
      <c r="A501" t="s">
        <v>658</v>
      </c>
    </row>
    <row r="502" spans="1:1">
      <c r="A502" t="s">
        <v>659</v>
      </c>
    </row>
    <row r="503" spans="1:1">
      <c r="A503" t="s">
        <v>660</v>
      </c>
    </row>
    <row r="504" spans="1:1">
      <c r="A504" t="s">
        <v>661</v>
      </c>
    </row>
    <row r="505" spans="1:1">
      <c r="A505" t="s">
        <v>662</v>
      </c>
    </row>
    <row r="506" spans="1:1">
      <c r="A506" t="s">
        <v>663</v>
      </c>
    </row>
    <row r="507" spans="1:1">
      <c r="A507" t="s">
        <v>664</v>
      </c>
    </row>
    <row r="508" spans="1:1">
      <c r="A508" t="s">
        <v>665</v>
      </c>
    </row>
    <row r="509" spans="1:1">
      <c r="A509" t="s">
        <v>666</v>
      </c>
    </row>
    <row r="511" spans="1:1">
      <c r="A511" t="s">
        <v>667</v>
      </c>
    </row>
    <row r="512" spans="1:1">
      <c r="A512" t="s">
        <v>668</v>
      </c>
    </row>
    <row r="513" spans="1:1">
      <c r="A513" t="s">
        <v>669</v>
      </c>
    </row>
    <row r="514" spans="1:1">
      <c r="A514" t="s">
        <v>670</v>
      </c>
    </row>
    <row r="515" spans="1:1">
      <c r="A515" t="s">
        <v>671</v>
      </c>
    </row>
    <row r="516" spans="1:1">
      <c r="A516" t="s">
        <v>672</v>
      </c>
    </row>
    <row r="517" spans="1:1">
      <c r="A517" t="s">
        <v>673</v>
      </c>
    </row>
    <row r="518" spans="1:1">
      <c r="A518" t="s">
        <v>674</v>
      </c>
    </row>
    <row r="519" spans="1:1">
      <c r="A519" t="s">
        <v>675</v>
      </c>
    </row>
    <row r="520" spans="1:1">
      <c r="A520" t="s">
        <v>676</v>
      </c>
    </row>
    <row r="521" spans="1:1">
      <c r="A521" t="s">
        <v>677</v>
      </c>
    </row>
    <row r="522" spans="1:1">
      <c r="A522" t="s">
        <v>678</v>
      </c>
    </row>
    <row r="523" spans="1:1">
      <c r="A523" t="s">
        <v>67</v>
      </c>
    </row>
    <row r="525" spans="1:1">
      <c r="A525" t="s">
        <v>62</v>
      </c>
    </row>
    <row r="527" spans="1:1">
      <c r="A527" t="s">
        <v>679</v>
      </c>
    </row>
    <row r="529" spans="1:1">
      <c r="A529" t="s">
        <v>680</v>
      </c>
    </row>
    <row r="530" spans="1:1">
      <c r="A530" t="s">
        <v>681</v>
      </c>
    </row>
    <row r="531" spans="1:1">
      <c r="A531" t="s">
        <v>682</v>
      </c>
    </row>
    <row r="532" spans="1:1">
      <c r="A532" t="s">
        <v>683</v>
      </c>
    </row>
    <row r="533" spans="1:1">
      <c r="A533" t="s">
        <v>684</v>
      </c>
    </row>
    <row r="534" spans="1:1">
      <c r="A534" t="s">
        <v>685</v>
      </c>
    </row>
    <row r="535" spans="1:1">
      <c r="A535" t="s">
        <v>686</v>
      </c>
    </row>
    <row r="536" spans="1:1">
      <c r="A536" t="s">
        <v>687</v>
      </c>
    </row>
    <row r="537" spans="1:1">
      <c r="A537" t="s">
        <v>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2329-15DC-4615-8DF9-5D4EB10C216A}">
  <dimension ref="A1:D18"/>
  <sheetViews>
    <sheetView workbookViewId="0">
      <selection activeCell="B9" sqref="B9"/>
    </sheetView>
  </sheetViews>
  <sheetFormatPr defaultColWidth="23.7265625" defaultRowHeight="14.5"/>
  <cols>
    <col min="1" max="1" width="17.453125" style="2" bestFit="1" customWidth="1"/>
    <col min="2" max="2" width="74.7265625" style="2" bestFit="1" customWidth="1"/>
    <col min="3" max="3" width="36.7265625" style="2" customWidth="1"/>
    <col min="4" max="4" width="19.36328125" style="2" customWidth="1"/>
  </cols>
  <sheetData>
    <row r="1" spans="1:4">
      <c r="A1" s="13" t="s">
        <v>7</v>
      </c>
      <c r="B1" s="13" t="s">
        <v>10</v>
      </c>
      <c r="C1" s="13" t="s">
        <v>11</v>
      </c>
      <c r="D1" s="13" t="s">
        <v>12</v>
      </c>
    </row>
    <row r="2" spans="1:4">
      <c r="A2" s="7" t="s">
        <v>13</v>
      </c>
      <c r="B2" s="6" t="s">
        <v>14</v>
      </c>
      <c r="C2" s="6">
        <v>45</v>
      </c>
      <c r="D2" s="6" t="s">
        <v>15</v>
      </c>
    </row>
    <row r="3" spans="1:4">
      <c r="A3" s="10" t="s">
        <v>16</v>
      </c>
      <c r="B3" s="6" t="s">
        <v>18</v>
      </c>
      <c r="C3" s="11">
        <v>1400</v>
      </c>
      <c r="D3" s="12" t="s">
        <v>26</v>
      </c>
    </row>
    <row r="4" spans="1:4">
      <c r="A4" s="10" t="s">
        <v>17</v>
      </c>
      <c r="B4" s="6" t="s">
        <v>19</v>
      </c>
      <c r="C4" s="11">
        <v>1401</v>
      </c>
      <c r="D4" s="12" t="s">
        <v>26</v>
      </c>
    </row>
    <row r="5" spans="1:4">
      <c r="A5" s="10" t="s">
        <v>20</v>
      </c>
      <c r="B5" s="9" t="s">
        <v>23</v>
      </c>
      <c r="C5" s="8" t="s">
        <v>22</v>
      </c>
      <c r="D5" s="12" t="s">
        <v>26</v>
      </c>
    </row>
    <row r="6" spans="1:4">
      <c r="A6" s="10" t="s">
        <v>28</v>
      </c>
      <c r="B6" s="9" t="s">
        <v>30</v>
      </c>
      <c r="C6" s="8" t="s">
        <v>27</v>
      </c>
      <c r="D6" s="12" t="s">
        <v>26</v>
      </c>
    </row>
    <row r="7" spans="1:4">
      <c r="A7" s="10" t="s">
        <v>29</v>
      </c>
      <c r="B7" s="9" t="s">
        <v>25</v>
      </c>
      <c r="C7" s="8" t="s">
        <v>24</v>
      </c>
      <c r="D7" s="12" t="s">
        <v>26</v>
      </c>
    </row>
    <row r="8" spans="1:4">
      <c r="A8" s="10" t="s">
        <v>8</v>
      </c>
      <c r="B8" s="12" t="s">
        <v>31</v>
      </c>
      <c r="C8" s="12" t="s">
        <v>21</v>
      </c>
      <c r="D8" s="6" t="s">
        <v>33</v>
      </c>
    </row>
    <row r="9" spans="1:4">
      <c r="A9" s="10" t="s">
        <v>32</v>
      </c>
      <c r="B9" s="12" t="s">
        <v>34</v>
      </c>
      <c r="C9" s="12" t="s">
        <v>21</v>
      </c>
      <c r="D9" s="6" t="s">
        <v>15</v>
      </c>
    </row>
    <row r="10" spans="1:4">
      <c r="A10" s="10" t="s">
        <v>35</v>
      </c>
      <c r="B10" s="9" t="s">
        <v>37</v>
      </c>
      <c r="C10" s="9" t="s">
        <v>39</v>
      </c>
      <c r="D10" s="6" t="s">
        <v>33</v>
      </c>
    </row>
    <row r="11" spans="1:4">
      <c r="A11" s="10" t="s">
        <v>42</v>
      </c>
      <c r="B11" s="9" t="s">
        <v>38</v>
      </c>
      <c r="C11" s="12" t="s">
        <v>40</v>
      </c>
      <c r="D11" s="6" t="s">
        <v>33</v>
      </c>
    </row>
    <row r="12" spans="1:4">
      <c r="A12" s="10" t="s">
        <v>41</v>
      </c>
      <c r="B12" s="9" t="s">
        <v>45</v>
      </c>
      <c r="C12" s="8" t="s">
        <v>36</v>
      </c>
      <c r="D12" s="6" t="s">
        <v>33</v>
      </c>
    </row>
    <row r="13" spans="1:4">
      <c r="A13" s="10" t="s">
        <v>43</v>
      </c>
      <c r="B13" s="9" t="s">
        <v>44</v>
      </c>
      <c r="C13" s="8" t="s">
        <v>46</v>
      </c>
      <c r="D13" s="6" t="s">
        <v>33</v>
      </c>
    </row>
    <row r="14" spans="1:4">
      <c r="A14" s="10" t="s">
        <v>47</v>
      </c>
      <c r="B14" s="12" t="s">
        <v>49</v>
      </c>
      <c r="C14" s="12" t="s">
        <v>48</v>
      </c>
      <c r="D14" s="12" t="s">
        <v>26</v>
      </c>
    </row>
    <row r="15" spans="1:4">
      <c r="A15" s="10" t="s">
        <v>52</v>
      </c>
      <c r="B15" s="2" t="s">
        <v>50</v>
      </c>
      <c r="C15" s="2" t="s">
        <v>51</v>
      </c>
      <c r="D15" s="6" t="s">
        <v>33</v>
      </c>
    </row>
    <row r="16" spans="1:4">
      <c r="A16" s="10" t="s">
        <v>9</v>
      </c>
      <c r="B16" s="2" t="s">
        <v>53</v>
      </c>
      <c r="C16" s="2" t="s">
        <v>54</v>
      </c>
      <c r="D16" s="12" t="s">
        <v>26</v>
      </c>
    </row>
    <row r="17" spans="1:4">
      <c r="A17" s="10" t="s">
        <v>55</v>
      </c>
      <c r="B17" s="9" t="s">
        <v>56</v>
      </c>
      <c r="C17" s="8" t="s">
        <v>57</v>
      </c>
      <c r="D17" s="12" t="s">
        <v>26</v>
      </c>
    </row>
    <row r="18" spans="1:4">
      <c r="A18" s="10" t="s">
        <v>58</v>
      </c>
      <c r="B18" s="9" t="s">
        <v>59</v>
      </c>
      <c r="C18" s="8" t="s">
        <v>60</v>
      </c>
      <c r="D18" s="1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CCE5-1552-43F3-9BCA-488D5FB3CE19}">
  <dimension ref="A1:A335"/>
  <sheetViews>
    <sheetView workbookViewId="0">
      <selection activeCell="A329" sqref="A329"/>
    </sheetView>
  </sheetViews>
  <sheetFormatPr defaultRowHeight="14.5"/>
  <cols>
    <col min="1" max="1" width="99.90625" bestFit="1" customWidth="1"/>
  </cols>
  <sheetData>
    <row r="1" spans="1:1">
      <c r="A1" t="s">
        <v>61</v>
      </c>
    </row>
    <row r="3" spans="1:1">
      <c r="A3" t="s">
        <v>62</v>
      </c>
    </row>
    <row r="5" spans="1:1">
      <c r="A5" t="s">
        <v>63</v>
      </c>
    </row>
    <row r="7" spans="1:1">
      <c r="A7" t="s">
        <v>64</v>
      </c>
    </row>
    <row r="8" spans="1:1">
      <c r="A8" t="s">
        <v>65</v>
      </c>
    </row>
    <row r="10" spans="1:1">
      <c r="A10" t="s">
        <v>62</v>
      </c>
    </row>
    <row r="12" spans="1:1">
      <c r="A12" t="s">
        <v>66</v>
      </c>
    </row>
    <row r="14" spans="1:1">
      <c r="A14" t="s">
        <v>67</v>
      </c>
    </row>
    <row r="15" spans="1:1">
      <c r="A15" t="s">
        <v>68</v>
      </c>
    </row>
    <row r="16" spans="1:1">
      <c r="A16" t="s">
        <v>67</v>
      </c>
    </row>
    <row r="18" spans="1:1">
      <c r="A18" t="s">
        <v>69</v>
      </c>
    </row>
    <row r="20" spans="1:1">
      <c r="A20" t="s">
        <v>70</v>
      </c>
    </row>
    <row r="21" spans="1:1">
      <c r="A21" t="s">
        <v>71</v>
      </c>
    </row>
    <row r="22" spans="1:1">
      <c r="A22" t="s">
        <v>265</v>
      </c>
    </row>
    <row r="23" spans="1:1">
      <c r="A23" t="s">
        <v>266</v>
      </c>
    </row>
    <row r="24" spans="1:1">
      <c r="A24" t="s">
        <v>72</v>
      </c>
    </row>
    <row r="25" spans="1:1">
      <c r="A25" t="s">
        <v>266</v>
      </c>
    </row>
    <row r="26" spans="1:1">
      <c r="A26" t="s">
        <v>267</v>
      </c>
    </row>
    <row r="27" spans="1:1">
      <c r="A27" t="s">
        <v>268</v>
      </c>
    </row>
    <row r="28" spans="1:1">
      <c r="A28" t="s">
        <v>73</v>
      </c>
    </row>
    <row r="30" spans="1:1">
      <c r="A30" t="s">
        <v>62</v>
      </c>
    </row>
    <row r="32" spans="1:1">
      <c r="A32" t="s">
        <v>74</v>
      </c>
    </row>
    <row r="34" spans="1:1">
      <c r="A34" t="s">
        <v>75</v>
      </c>
    </row>
    <row r="35" spans="1:1">
      <c r="A35" t="s">
        <v>76</v>
      </c>
    </row>
    <row r="36" spans="1:1">
      <c r="A36" t="s">
        <v>67</v>
      </c>
    </row>
    <row r="37" spans="1:1">
      <c r="A37" t="e">
        <f>- (дефис)</f>
        <v>#NAME?</v>
      </c>
    </row>
    <row r="38" spans="1:1">
      <c r="A38" t="s">
        <v>77</v>
      </c>
    </row>
    <row r="39" spans="1:1">
      <c r="A39" t="s">
        <v>78</v>
      </c>
    </row>
    <row r="40" spans="1:1">
      <c r="A40" t="s">
        <v>79</v>
      </c>
    </row>
    <row r="41" spans="1:1">
      <c r="A41" t="s">
        <v>80</v>
      </c>
    </row>
    <row r="42" spans="1:1">
      <c r="A42" t="s">
        <v>81</v>
      </c>
    </row>
    <row r="43" spans="1:1">
      <c r="A43" t="s">
        <v>82</v>
      </c>
    </row>
    <row r="44" spans="1:1">
      <c r="A44" t="s">
        <v>67</v>
      </c>
    </row>
    <row r="46" spans="1:1">
      <c r="A46" t="s">
        <v>83</v>
      </c>
    </row>
    <row r="48" spans="1:1">
      <c r="A48" t="s">
        <v>84</v>
      </c>
    </row>
    <row r="49" spans="1:1">
      <c r="A49" t="s">
        <v>85</v>
      </c>
    </row>
    <row r="50" spans="1:1">
      <c r="A50" t="e">
        <f>- Может отсутствовать (тогда тег начинается с DeviceClass)</f>
        <v>#NAME?</v>
      </c>
    </row>
    <row r="51" spans="1:1">
      <c r="A51" t="s">
        <v>86</v>
      </c>
    </row>
    <row r="52" spans="1:1">
      <c r="A52" t="s">
        <v>87</v>
      </c>
    </row>
    <row r="54" spans="1:1">
      <c r="A54" t="s">
        <v>88</v>
      </c>
    </row>
    <row r="55" spans="1:1">
      <c r="A55" t="s">
        <v>89</v>
      </c>
    </row>
    <row r="56" spans="1:1">
      <c r="A56" t="s">
        <v>90</v>
      </c>
    </row>
    <row r="57" spans="1:1">
      <c r="A57" t="s">
        <v>91</v>
      </c>
    </row>
    <row r="58" spans="1:1">
      <c r="A58" t="e">
        <f>- Всегда приводится к верхнему регистру</f>
        <v>#NAME?</v>
      </c>
    </row>
    <row r="60" spans="1:1">
      <c r="A60" t="s">
        <v>92</v>
      </c>
    </row>
    <row r="61" spans="1:1">
      <c r="A61" t="s">
        <v>93</v>
      </c>
    </row>
    <row r="62" spans="1:1">
      <c r="A62" t="e">
        <f>- Может идти сразу после DeviceClass (без разделителя)</f>
        <v>#NAME?</v>
      </c>
    </row>
    <row r="63" spans="1:1">
      <c r="A63" t="e">
        <f>- Отделяется от TagNumber и Suffix автоматически</f>
        <v>#NAME?</v>
      </c>
    </row>
    <row r="65" spans="1:1">
      <c r="A65" t="s">
        <v>94</v>
      </c>
    </row>
    <row r="66" spans="1:1">
      <c r="A66" t="s">
        <v>95</v>
      </c>
    </row>
    <row r="67" spans="1:1">
      <c r="A67" t="e">
        <f>- Может отсутствовать</f>
        <v>#NAME?</v>
      </c>
    </row>
    <row r="69" spans="1:1">
      <c r="A69" t="s">
        <v>96</v>
      </c>
    </row>
    <row r="70" spans="1:1">
      <c r="A70" t="s">
        <v>97</v>
      </c>
    </row>
    <row r="71" spans="1:1">
      <c r="A71" t="e">
        <f>- Может отсутствовать</f>
        <v>#NAME?</v>
      </c>
    </row>
    <row r="72" spans="1:1">
      <c r="A72" t="e">
        <f>- приводится к верхнему регистру</f>
        <v>#NAME?</v>
      </c>
    </row>
    <row r="74" spans="1:1">
      <c r="A74" t="s">
        <v>98</v>
      </c>
    </row>
    <row r="76" spans="1:1">
      <c r="A76" t="s">
        <v>99</v>
      </c>
    </row>
    <row r="77" spans="1:1">
      <c r="A77" t="s">
        <v>100</v>
      </c>
    </row>
    <row r="78" spans="1:1">
      <c r="A78" t="s">
        <v>101</v>
      </c>
    </row>
    <row r="79" spans="1:1">
      <c r="A79" t="s">
        <v>102</v>
      </c>
    </row>
    <row r="80" spans="1:1">
      <c r="A80" t="s">
        <v>103</v>
      </c>
    </row>
    <row r="81" spans="1:1">
      <c r="A81" t="s">
        <v>104</v>
      </c>
    </row>
    <row r="82" spans="1:1">
      <c r="A82" t="s">
        <v>105</v>
      </c>
    </row>
    <row r="83" spans="1:1">
      <c r="A83" t="s">
        <v>106</v>
      </c>
    </row>
    <row r="84" spans="1:1">
      <c r="A84" t="s">
        <v>107</v>
      </c>
    </row>
    <row r="86" spans="1:1">
      <c r="A86" t="s">
        <v>62</v>
      </c>
    </row>
    <row r="88" spans="1:1">
      <c r="A88" t="s">
        <v>108</v>
      </c>
    </row>
    <row r="90" spans="1:1">
      <c r="A90" t="s">
        <v>109</v>
      </c>
    </row>
    <row r="92" spans="1:1">
      <c r="A92" t="s">
        <v>110</v>
      </c>
    </row>
    <row r="93" spans="1:1">
      <c r="A93" t="s">
        <v>111</v>
      </c>
    </row>
    <row r="94" spans="1:1">
      <c r="A94" t="s">
        <v>112</v>
      </c>
    </row>
    <row r="95" spans="1:1">
      <c r="A95" t="s">
        <v>113</v>
      </c>
    </row>
    <row r="96" spans="1:1">
      <c r="A96" t="s">
        <v>114</v>
      </c>
    </row>
    <row r="97" spans="1:1">
      <c r="A97" t="s">
        <v>115</v>
      </c>
    </row>
    <row r="98" spans="1:1">
      <c r="A98" t="s">
        <v>116</v>
      </c>
    </row>
    <row r="99" spans="1:1">
      <c r="A99" t="s">
        <v>117</v>
      </c>
    </row>
    <row r="100" spans="1:1">
      <c r="A100" t="s">
        <v>118</v>
      </c>
    </row>
    <row r="102" spans="1:1">
      <c r="A102" t="s">
        <v>119</v>
      </c>
    </row>
    <row r="104" spans="1:1">
      <c r="A104" t="s">
        <v>120</v>
      </c>
    </row>
    <row r="105" spans="1:1">
      <c r="A105" t="s">
        <v>121</v>
      </c>
    </row>
    <row r="106" spans="1:1">
      <c r="A106" t="s">
        <v>122</v>
      </c>
    </row>
    <row r="107" spans="1:1">
      <c r="A107" t="s">
        <v>123</v>
      </c>
    </row>
    <row r="108" spans="1:1">
      <c r="A108" t="s">
        <v>124</v>
      </c>
    </row>
    <row r="109" spans="1:1">
      <c r="A109" t="s">
        <v>125</v>
      </c>
    </row>
    <row r="111" spans="1:1">
      <c r="A111" t="s">
        <v>62</v>
      </c>
    </row>
    <row r="113" spans="1:1">
      <c r="A113" t="s">
        <v>126</v>
      </c>
    </row>
    <row r="115" spans="1:1">
      <c r="A115" t="s">
        <v>127</v>
      </c>
    </row>
    <row r="117" spans="1:1">
      <c r="A117" t="s">
        <v>67</v>
      </c>
    </row>
    <row r="118" spans="1:1">
      <c r="A118" t="s">
        <v>128</v>
      </c>
    </row>
    <row r="119" spans="1:1">
      <c r="A119" t="s">
        <v>129</v>
      </c>
    </row>
    <row r="120" spans="1:1">
      <c r="A120" t="s">
        <v>130</v>
      </c>
    </row>
    <row r="121" spans="1:1">
      <c r="A121" t="s">
        <v>131</v>
      </c>
    </row>
    <row r="122" spans="1:1">
      <c r="A122" t="s">
        <v>132</v>
      </c>
    </row>
    <row r="123" spans="1:1">
      <c r="A123" t="s">
        <v>133</v>
      </c>
    </row>
    <row r="124" spans="1:1">
      <c r="A124" t="s">
        <v>134</v>
      </c>
    </row>
    <row r="125" spans="1:1">
      <c r="A125" t="s">
        <v>135</v>
      </c>
    </row>
    <row r="126" spans="1:1">
      <c r="A126" t="s">
        <v>136</v>
      </c>
    </row>
    <row r="127" spans="1:1">
      <c r="A127" t="s">
        <v>137</v>
      </c>
    </row>
    <row r="128" spans="1:1">
      <c r="A128" t="s">
        <v>138</v>
      </c>
    </row>
    <row r="129" spans="1:1">
      <c r="A129" t="s">
        <v>139</v>
      </c>
    </row>
    <row r="130" spans="1:1">
      <c r="A130" t="s">
        <v>140</v>
      </c>
    </row>
    <row r="131" spans="1:1">
      <c r="A131" t="s">
        <v>141</v>
      </c>
    </row>
    <row r="132" spans="1:1">
      <c r="A132" t="s">
        <v>67</v>
      </c>
    </row>
    <row r="134" spans="1:1">
      <c r="A134" t="s">
        <v>142</v>
      </c>
    </row>
    <row r="136" spans="1:1">
      <c r="A136" t="s">
        <v>143</v>
      </c>
    </row>
    <row r="137" spans="1:1">
      <c r="A137" t="s">
        <v>144</v>
      </c>
    </row>
    <row r="138" spans="1:1">
      <c r="A138" t="s">
        <v>145</v>
      </c>
    </row>
    <row r="139" spans="1:1">
      <c r="A139" t="s">
        <v>146</v>
      </c>
    </row>
    <row r="140" spans="1:1">
      <c r="A140" t="s">
        <v>147</v>
      </c>
    </row>
    <row r="141" spans="1:1">
      <c r="A141" t="s">
        <v>148</v>
      </c>
    </row>
    <row r="142" spans="1:1">
      <c r="A142" t="s">
        <v>149</v>
      </c>
    </row>
    <row r="143" spans="1:1">
      <c r="A143" t="s">
        <v>150</v>
      </c>
    </row>
    <row r="145" spans="1:1">
      <c r="A145" t="s">
        <v>62</v>
      </c>
    </row>
    <row r="147" spans="1:1">
      <c r="A147" t="s">
        <v>151</v>
      </c>
    </row>
    <row r="149" spans="1:1">
      <c r="A149" t="s">
        <v>152</v>
      </c>
    </row>
    <row r="150" spans="1:1">
      <c r="A150" t="s">
        <v>153</v>
      </c>
    </row>
    <row r="151" spans="1:1">
      <c r="A151" t="s">
        <v>154</v>
      </c>
    </row>
    <row r="152" spans="1:1">
      <c r="A152" t="s">
        <v>155</v>
      </c>
    </row>
    <row r="154" spans="1:1">
      <c r="A154" t="s">
        <v>0</v>
      </c>
    </row>
    <row r="155" spans="1:1">
      <c r="A155" t="s">
        <v>156</v>
      </c>
    </row>
    <row r="156" spans="1:1">
      <c r="A156" t="s">
        <v>157</v>
      </c>
    </row>
    <row r="157" spans="1:1">
      <c r="A157" t="s">
        <v>1</v>
      </c>
    </row>
    <row r="158" spans="1:1">
      <c r="A158" t="s">
        <v>158</v>
      </c>
    </row>
    <row r="159" spans="1:1">
      <c r="A159" t="s">
        <v>2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8" spans="1:1">
      <c r="A168" t="s">
        <v>166</v>
      </c>
    </row>
    <row r="170" spans="1:1">
      <c r="A170" t="s">
        <v>167</v>
      </c>
    </row>
    <row r="171" spans="1:1">
      <c r="A171" t="s">
        <v>4</v>
      </c>
    </row>
    <row r="172" spans="1:1">
      <c r="A172" t="s">
        <v>168</v>
      </c>
    </row>
    <row r="173" spans="1:1">
      <c r="A173" t="s">
        <v>169</v>
      </c>
    </row>
    <row r="175" spans="1:1">
      <c r="A175" t="s">
        <v>170</v>
      </c>
    </row>
    <row r="176" spans="1:1">
      <c r="A176" t="s">
        <v>171</v>
      </c>
    </row>
    <row r="178" spans="1:1">
      <c r="A178" t="s">
        <v>172</v>
      </c>
    </row>
    <row r="179" spans="1:1">
      <c r="A179" t="s">
        <v>173</v>
      </c>
    </row>
    <row r="180" spans="1:1">
      <c r="A180" t="s">
        <v>174</v>
      </c>
    </row>
    <row r="181" spans="1:1">
      <c r="A181" t="s">
        <v>175</v>
      </c>
    </row>
    <row r="182" spans="1:1">
      <c r="A182" t="s">
        <v>176</v>
      </c>
    </row>
    <row r="183" spans="1:1">
      <c r="A183" t="s">
        <v>177</v>
      </c>
    </row>
    <row r="184" spans="1:1">
      <c r="A184" t="s">
        <v>178</v>
      </c>
    </row>
    <row r="185" spans="1:1">
      <c r="A185" t="s">
        <v>179</v>
      </c>
    </row>
    <row r="186" spans="1:1">
      <c r="A186" t="s">
        <v>180</v>
      </c>
    </row>
    <row r="187" spans="1:1">
      <c r="A187" t="s">
        <v>181</v>
      </c>
    </row>
    <row r="188" spans="1:1">
      <c r="A188" t="s">
        <v>182</v>
      </c>
    </row>
    <row r="190" spans="1:1">
      <c r="A190" t="s">
        <v>183</v>
      </c>
    </row>
    <row r="191" spans="1:1">
      <c r="A191" t="s">
        <v>175</v>
      </c>
    </row>
    <row r="192" spans="1:1">
      <c r="A192" t="s">
        <v>184</v>
      </c>
    </row>
    <row r="193" spans="1:1">
      <c r="A193" t="s">
        <v>182</v>
      </c>
    </row>
    <row r="195" spans="1:1">
      <c r="A195" t="s">
        <v>185</v>
      </c>
    </row>
    <row r="196" spans="1:1">
      <c r="A196" t="s">
        <v>186</v>
      </c>
    </row>
    <row r="197" spans="1:1">
      <c r="A197" t="s">
        <v>187</v>
      </c>
    </row>
    <row r="199" spans="1:1">
      <c r="A199" t="s">
        <v>188</v>
      </c>
    </row>
    <row r="200" spans="1:1">
      <c r="A200" t="s">
        <v>189</v>
      </c>
    </row>
    <row r="201" spans="1:1">
      <c r="A201" t="s">
        <v>175</v>
      </c>
    </row>
    <row r="202" spans="1:1">
      <c r="A202" t="s">
        <v>190</v>
      </c>
    </row>
    <row r="203" spans="1:1">
      <c r="A203" t="s">
        <v>191</v>
      </c>
    </row>
    <row r="204" spans="1:1">
      <c r="A204" t="s">
        <v>182</v>
      </c>
    </row>
    <row r="206" spans="1:1">
      <c r="A206" t="s">
        <v>192</v>
      </c>
    </row>
    <row r="207" spans="1:1">
      <c r="A207" t="s">
        <v>193</v>
      </c>
    </row>
    <row r="208" spans="1:1">
      <c r="A208" t="s">
        <v>175</v>
      </c>
    </row>
    <row r="209" spans="1:1">
      <c r="A209" t="s">
        <v>194</v>
      </c>
    </row>
    <row r="210" spans="1:1">
      <c r="A210" t="s">
        <v>191</v>
      </c>
    </row>
    <row r="211" spans="1:1">
      <c r="A211" t="s">
        <v>182</v>
      </c>
    </row>
    <row r="212" spans="1:1">
      <c r="A212" t="s">
        <v>195</v>
      </c>
    </row>
    <row r="213" spans="1:1">
      <c r="A213" t="s">
        <v>175</v>
      </c>
    </row>
    <row r="214" spans="1:1">
      <c r="A214" t="s">
        <v>196</v>
      </c>
    </row>
    <row r="215" spans="1:1">
      <c r="A215" t="s">
        <v>182</v>
      </c>
    </row>
    <row r="217" spans="1:1">
      <c r="A217" t="s">
        <v>197</v>
      </c>
    </row>
    <row r="218" spans="1:1">
      <c r="A218" t="s">
        <v>198</v>
      </c>
    </row>
    <row r="219" spans="1:1">
      <c r="A219" t="s">
        <v>175</v>
      </c>
    </row>
    <row r="220" spans="1:1">
      <c r="A220" t="s">
        <v>199</v>
      </c>
    </row>
    <row r="221" spans="1:1">
      <c r="A221" t="s">
        <v>200</v>
      </c>
    </row>
    <row r="222" spans="1:1">
      <c r="A222" t="s">
        <v>201</v>
      </c>
    </row>
    <row r="223" spans="1:1">
      <c r="A223" t="s">
        <v>202</v>
      </c>
    </row>
    <row r="225" spans="1:1">
      <c r="A225" t="s">
        <v>203</v>
      </c>
    </row>
    <row r="226" spans="1:1">
      <c r="A226" t="s">
        <v>204</v>
      </c>
    </row>
    <row r="227" spans="1:1">
      <c r="A227" t="s">
        <v>205</v>
      </c>
    </row>
    <row r="229" spans="1:1">
      <c r="A229" t="s">
        <v>206</v>
      </c>
    </row>
    <row r="230" spans="1:1">
      <c r="A230" t="s">
        <v>182</v>
      </c>
    </row>
    <row r="231" spans="1:1">
      <c r="A231" t="s">
        <v>195</v>
      </c>
    </row>
    <row r="232" spans="1:1">
      <c r="A232" t="s">
        <v>175</v>
      </c>
    </row>
    <row r="233" spans="1:1">
      <c r="A233" t="s">
        <v>207</v>
      </c>
    </row>
    <row r="234" spans="1:1">
      <c r="A234" t="s">
        <v>182</v>
      </c>
    </row>
    <row r="236" spans="1:1">
      <c r="A236" t="s">
        <v>208</v>
      </c>
    </row>
    <row r="237" spans="1:1">
      <c r="A237" t="s">
        <v>5</v>
      </c>
    </row>
    <row r="239" spans="1:1">
      <c r="A239" t="s">
        <v>209</v>
      </c>
    </row>
    <row r="240" spans="1:1">
      <c r="A240" t="s">
        <v>210</v>
      </c>
    </row>
    <row r="241" spans="1:1">
      <c r="A241" t="s">
        <v>211</v>
      </c>
    </row>
    <row r="242" spans="1:1">
      <c r="A242" t="s">
        <v>212</v>
      </c>
    </row>
    <row r="244" spans="1:1">
      <c r="A244" t="s">
        <v>213</v>
      </c>
    </row>
    <row r="245" spans="1:1">
      <c r="A245" t="s">
        <v>4</v>
      </c>
    </row>
    <row r="246" spans="1:1">
      <c r="A246" t="s">
        <v>214</v>
      </c>
    </row>
    <row r="247" spans="1:1">
      <c r="A247" t="s">
        <v>215</v>
      </c>
    </row>
    <row r="248" spans="1:1">
      <c r="A248" t="s">
        <v>216</v>
      </c>
    </row>
    <row r="250" spans="1:1">
      <c r="A250" t="s">
        <v>217</v>
      </c>
    </row>
    <row r="251" spans="1:1">
      <c r="A251" t="s">
        <v>175</v>
      </c>
    </row>
    <row r="252" spans="1:1">
      <c r="A252" t="s">
        <v>218</v>
      </c>
    </row>
    <row r="253" spans="1:1">
      <c r="A253" t="s">
        <v>219</v>
      </c>
    </row>
    <row r="254" spans="1:1">
      <c r="A254" t="s">
        <v>220</v>
      </c>
    </row>
    <row r="255" spans="1:1">
      <c r="A255" t="s">
        <v>221</v>
      </c>
    </row>
    <row r="256" spans="1:1">
      <c r="A256" t="s">
        <v>222</v>
      </c>
    </row>
    <row r="257" spans="1:1">
      <c r="A257" t="s">
        <v>223</v>
      </c>
    </row>
    <row r="258" spans="1:1">
      <c r="A258" t="s">
        <v>224</v>
      </c>
    </row>
    <row r="259" spans="1:1">
      <c r="A259" t="s">
        <v>225</v>
      </c>
    </row>
    <row r="260" spans="1:1">
      <c r="A260" t="s">
        <v>5</v>
      </c>
    </row>
    <row r="262" spans="1:1">
      <c r="A262" t="s">
        <v>226</v>
      </c>
    </row>
    <row r="263" spans="1:1">
      <c r="A263" t="s">
        <v>4</v>
      </c>
    </row>
    <row r="264" spans="1:1">
      <c r="A264" t="s">
        <v>227</v>
      </c>
    </row>
    <row r="265" spans="1:1">
      <c r="A265" t="s">
        <v>5</v>
      </c>
    </row>
    <row r="266" spans="1:1">
      <c r="A266" t="s">
        <v>3</v>
      </c>
    </row>
    <row r="267" spans="1:1">
      <c r="A267" t="s">
        <v>67</v>
      </c>
    </row>
    <row r="269" spans="1:1">
      <c r="A269" t="s">
        <v>62</v>
      </c>
    </row>
    <row r="271" spans="1:1">
      <c r="A271" t="s">
        <v>228</v>
      </c>
    </row>
    <row r="273" spans="1:1">
      <c r="A273" t="s">
        <v>152</v>
      </c>
    </row>
    <row r="274" spans="1:1">
      <c r="A274" t="s">
        <v>229</v>
      </c>
    </row>
    <row r="275" spans="1:1">
      <c r="A275" t="s">
        <v>230</v>
      </c>
    </row>
    <row r="276" spans="1:1">
      <c r="A276" t="s">
        <v>2</v>
      </c>
    </row>
    <row r="277" spans="1:1">
      <c r="A277" t="s">
        <v>231</v>
      </c>
    </row>
    <row r="278" spans="1:1">
      <c r="A278" t="s">
        <v>232</v>
      </c>
    </row>
    <row r="279" spans="1:1">
      <c r="A279" t="s">
        <v>233</v>
      </c>
    </row>
    <row r="280" spans="1:1">
      <c r="A280" t="s">
        <v>234</v>
      </c>
    </row>
    <row r="281" spans="1:1">
      <c r="A281" t="s">
        <v>235</v>
      </c>
    </row>
    <row r="282" spans="1:1">
      <c r="A282" t="s">
        <v>236</v>
      </c>
    </row>
    <row r="283" spans="1:1">
      <c r="A283" t="s">
        <v>237</v>
      </c>
    </row>
    <row r="284" spans="1:1">
      <c r="A284" t="s">
        <v>238</v>
      </c>
    </row>
    <row r="285" spans="1:1">
      <c r="A285" t="s">
        <v>239</v>
      </c>
    </row>
    <row r="286" spans="1:1">
      <c r="A286" t="s">
        <v>240</v>
      </c>
    </row>
    <row r="287" spans="1:1">
      <c r="A287" t="s">
        <v>241</v>
      </c>
    </row>
    <row r="288" spans="1:1">
      <c r="A288" t="s">
        <v>242</v>
      </c>
    </row>
    <row r="289" spans="1:1">
      <c r="A289" t="s">
        <v>243</v>
      </c>
    </row>
    <row r="290" spans="1:1">
      <c r="A290" t="s">
        <v>244</v>
      </c>
    </row>
    <row r="291" spans="1:1">
      <c r="A291" t="s">
        <v>4</v>
      </c>
    </row>
    <row r="292" spans="1:1">
      <c r="A292" t="s">
        <v>245</v>
      </c>
    </row>
    <row r="293" spans="1:1">
      <c r="A293" t="s">
        <v>246</v>
      </c>
    </row>
    <row r="294" spans="1:1">
      <c r="A294" t="s">
        <v>247</v>
      </c>
    </row>
    <row r="295" spans="1:1">
      <c r="A295" t="s">
        <v>248</v>
      </c>
    </row>
    <row r="296" spans="1:1">
      <c r="A296" t="s">
        <v>249</v>
      </c>
    </row>
    <row r="297" spans="1:1">
      <c r="A297" t="s">
        <v>250</v>
      </c>
    </row>
    <row r="298" spans="1:1">
      <c r="A298" t="s">
        <v>5</v>
      </c>
    </row>
    <row r="300" spans="1:1">
      <c r="A300" t="s">
        <v>251</v>
      </c>
    </row>
    <row r="301" spans="1:1">
      <c r="A301" t="s">
        <v>252</v>
      </c>
    </row>
    <row r="302" spans="1:1">
      <c r="A302" t="s">
        <v>4</v>
      </c>
    </row>
    <row r="303" spans="1:1">
      <c r="A303" t="s">
        <v>253</v>
      </c>
    </row>
    <row r="304" spans="1:1">
      <c r="A304" t="s">
        <v>254</v>
      </c>
    </row>
    <row r="305" spans="1:1">
      <c r="A305" t="s">
        <v>255</v>
      </c>
    </row>
    <row r="306" spans="1:1">
      <c r="A306" t="s">
        <v>5</v>
      </c>
    </row>
    <row r="307" spans="1:1">
      <c r="A307" t="s">
        <v>3</v>
      </c>
    </row>
    <row r="308" spans="1:1">
      <c r="A308" t="s">
        <v>67</v>
      </c>
    </row>
    <row r="310" spans="1:1">
      <c r="A310" t="s">
        <v>62</v>
      </c>
    </row>
    <row r="312" spans="1:1">
      <c r="A312" t="s">
        <v>256</v>
      </c>
    </row>
    <row r="314" spans="1:1">
      <c r="A314" t="s">
        <v>257</v>
      </c>
    </row>
    <row r="315" spans="1:1">
      <c r="A315" t="s">
        <v>100</v>
      </c>
    </row>
    <row r="316" spans="1:1">
      <c r="A316" t="s">
        <v>258</v>
      </c>
    </row>
    <row r="318" spans="1:1">
      <c r="A318" t="s">
        <v>62</v>
      </c>
    </row>
    <row r="320" spans="1:1">
      <c r="A320" t="s">
        <v>259</v>
      </c>
    </row>
    <row r="322" spans="1:1">
      <c r="A322" t="s">
        <v>260</v>
      </c>
    </row>
    <row r="323" spans="1:1">
      <c r="A323" t="s">
        <v>261</v>
      </c>
    </row>
    <row r="324" spans="1:1">
      <c r="A324" t="s">
        <v>262</v>
      </c>
    </row>
    <row r="325" spans="1:1">
      <c r="A325" t="s">
        <v>263</v>
      </c>
    </row>
    <row r="327" spans="1:1">
      <c r="A327" t="s">
        <v>62</v>
      </c>
    </row>
    <row r="329" spans="1:1">
      <c r="A329" t="s">
        <v>264</v>
      </c>
    </row>
    <row r="330" spans="1:1">
      <c r="A330" t="e">
        <f>- Сохранить в JSON/YAML формате</f>
        <v>#NAME?</v>
      </c>
    </row>
    <row r="331" spans="1:1">
      <c r="A331" t="e">
        <f>- Создать XML-схему</f>
        <v>#NAME?</v>
      </c>
    </row>
    <row r="332" spans="1:1">
      <c r="A332" t="e">
        <f>- Добавить поддержку новых разделителей</f>
        <v>#NAME?</v>
      </c>
    </row>
    <row r="333" spans="1:1">
      <c r="A333" t="e">
        <f>- Расширить валидацию</f>
        <v>#NAME?</v>
      </c>
    </row>
    <row r="334" spans="1:1">
      <c r="A334" t="e">
        <f>- Добавить маппинг DeviceClass в полные названия</f>
        <v>#NAME?</v>
      </c>
    </row>
    <row r="335" spans="1:1">
      <c r="A335" t="e">
        <f>- Создать документацию в формате Markdown для Wiki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Class IOPoint</vt:lpstr>
      <vt:lpstr>Id (Identification) class</vt:lpstr>
      <vt:lpstr>Industrial Tag Parser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RAN-Notebook</dc:creator>
  <cp:lastModifiedBy>Mso10241</cp:lastModifiedBy>
  <dcterms:created xsi:type="dcterms:W3CDTF">2015-06-05T18:17:20Z</dcterms:created>
  <dcterms:modified xsi:type="dcterms:W3CDTF">2026-07-28T18:54:00Z</dcterms:modified>
</cp:coreProperties>
</file>